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Methodology" sheetId="1" state="visible" r:id="rId3"/>
    <sheet name="Universe Scenarios" sheetId="2" state="visible" r:id="rId4"/>
    <sheet name="MSO Reclassification" sheetId="3" state="visible" r:id="rId5"/>
    <sheet name="State Market Summary" sheetId="4" state="visible" r:id="rId6"/>
    <sheet name="State Rankings" sheetId="5" state="visible" r:id="rId7"/>
    <sheet name="Territory Plan" sheetId="6" state="visible" r:id="rId8"/>
    <sheet name="Hiring Waves" sheetId="7" state="visible" r:id="rId9"/>
    <sheet name="Kathy - ALL Universe" sheetId="8" state="visible" r:id="rId10"/>
    <sheet name="Academic by Metro (ge10)" sheetId="9" state="visible" r:id="rId11"/>
    <sheet name="v4 Reference (pre-MSO)" sheetId="10" state="visible" r:id="rId12"/>
  </sheets>
  <definedNames>
    <definedName function="false" hidden="true" localSheetId="8" name="_xlnm._FilterDatabase" vbProcedure="false">'Academic by Metro (ge10)'!$A$2:$G$1281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<sst xmlns="http://schemas.openxmlformats.org/spreadsheetml/2006/main" count="4379" uniqueCount="1411">
  <si>
    <t xml:space="preserve">FemaSeed U.S. Territory Plan — v7 (ALL-MD Universe, 30-Rep Hard Cap)</t>
  </si>
  <si>
    <t xml:space="preserve">2026-07-22 | Universe re-based per Megan/CEO direction. Supersedes v3; v1-v3 methodology history lives in the v3 file.</t>
  </si>
  <si>
    <t xml:space="preserve">SOURCES</t>
  </si>
  <si>
    <t xml:space="preserve">1. Waterfall A rev1 (NATIONAL-Femasys_DataRequest_Waterfall-06222026-rev1_ME_FINAL NUMBERS.xlsx) — CANONICAL for all MD/clinic counts. Labeled columns only; stray unlabeled scratch columns excluded.</t>
  </si>
  <si>
    <t xml:space="preserve">2. Femasys_Territory_Plan_v3.xlsx — territory-to-state groupings (unchanged, no geography redrawn) and census columns (Women 25-44, Income, Education), carried unchanged.</t>
  </si>
  <si>
    <t xml:space="preserve">Puerto Rico excluded (matches Data Request universe).</t>
  </si>
  <si>
    <t xml:space="preserve">UNIVERSE</t>
  </si>
  <si>
    <t xml:space="preserve">Plan universe: ALL MDs = 18,405 (Waterfall A rev1 TOTAL, unchanged). MSO physicians are reclassified Academic-&gt;Private, so the Academic/Private split differs from the raw waterfall: Private ALL 10,881 | Academic/Group ALL 7,524. Full tier totals unchanged: All Clinics 5,862 | &gt;=10 MDs 4,401 | &gt;=20 MDs 1,476. State Market Summary reproduces the full state table with the reclassification applied and highlighted; its TOTAL row ties to Waterfall A totals exactly.</t>
  </si>
  <si>
    <t xml:space="preserve">Source delta vs v3: v3 reconciled to 18,406. The 1-MD difference is Michigan (v3: 747; Waterfall A rev1: 746). All other states match exactly. Rev1 is the number of record.</t>
  </si>
  <si>
    <t xml:space="preserve">Tier definition (per source): Volume = Femara + Clomid + Letrozole + Clomiphene prescribing; &gt;=10 and &gt;=20 are inclusive thresholds.</t>
  </si>
  <si>
    <t xml:space="preserve">REP ALLOCATION — HARD CAP 30</t>
  </si>
  <si>
    <t xml:space="preserve">30 reps is a hard cap; no rep-sizing math is used. Allocation (Territory Plan and Kathy tabs, blue adjustable inputs, total must stay 30; MSO reclassified to Private):</t>
  </si>
  <si>
    <t xml:space="preserve">  - 2 reps (10 total): T01 TX, T02 CA-HI, T03 NY, T05 FL, T06 PA-NJ</t>
  </si>
  <si>
    <t xml:space="preserve">  - 1 rep (20 total): all other territories</t>
  </si>
  <si>
    <t xml:space="preserve">  (v7 update: cap raised to 30 — the two previously unstaffed territories, T24 IA-SD-ND-WY and T25 SC, are now staffed at 1 rep each.)</t>
  </si>
  <si>
    <t xml:space="preserve">At 18,405 MDs, 30 reps average ~614 MDs each. The plan operates as a PRIORITIZATION model: reps work their territory top-down via the &gt;=20 tier (1,476 MDs) then the &gt;=10 tier (4,401), using the tiers on State Market Summary.</t>
  </si>
  <si>
    <t xml:space="preserve">SCORING (Territory Plan tab — rep-independent)</t>
  </si>
  <si>
    <t xml:space="preserve">No source provides volume for the full ALL-MD universe (row-level volume exists only for the &gt;=10 subset), so v3's 15% volume weight is redistributed proportionally rather than reusing partial-coverage volume.</t>
  </si>
  <si>
    <t xml:space="preserve">Reference score (Territory Plan tab, rep-independent): All MDs 47.06% / All Clinics 29.41% / Women 25-44 11.76% / Income 11.76% (= 40/25/10/10 renormalized over 85), share-of-max method. Retained for reference; it does NOT drive prioritization.</t>
  </si>
  <si>
    <t xml:space="preserve">PRIORITIZATION uses the Kathy - ALL Universe score (per Rajiv, 2026-07-22): All MDs/Rep 20% / All Clinics/Rep 60% / Women 25-44 10% / Median Income 10% / Education 0%, min-max normalized 0-100 across staffed territories. Top 8: CA-HI, New England, TX, IL, WA-OR-AK, GA, AZ-NV-ID-MT, MI. Because components are per-rep, ranks depend on the rep allocation.</t>
  </si>
  <si>
    <t xml:space="preserve">KATHY - ALL UNIVERSE TAB / ACADEMIC BY METRO (GE10) TAB</t>
  </si>
  <si>
    <t xml:space="preserve">Kathy's layout (columns E-P). Counts sum Waterfall A rev1 labeled columns only. Score uses Kathy's weights — All MDs/Rep 20% / All Clinics/Rep 60% / Women 25-44 10% / Median Income 10% / Education 0% — min-max normalized 0-100. Note: these weights score PER-REP loads, so scores shift when Reps is edited; unstaffed territories carry no score. | Academic by Metro (ge10): city-level academic vs private counts for the &gt;=10 tier only (4,401 MDs; per-city rows from the waterfall row-level tabs, PR excluded). Metro detail does NOT exist for the full ALL-MD universe — no row-level data below volume 10 in any source; full-universe metro requires the Phase 2 clinic-address append.</t>
  </si>
  <si>
    <t xml:space="preserve">HIRING WAVES</t>
  </si>
  <si>
    <t xml:space="preserve">Territories ranked by the Kathy - ALL Universe score, wave sizes 7/5/7/6. Cumulative reps 9 / 15 / 23 / 30. Wave membership recalculates from the Kathy tab if reps are edited (lists in column B are a snapshot).</t>
  </si>
  <si>
    <t xml:space="preserve">STRATEGIC CAVEAT — MANDATE STATES (carried from v3, still open): rankings are pure opportunity, not mandate-adjusted. Northeast (incl. mandate states) remains in early waves. Verify the current mandate list and re-sequence before committing hires — statuses have changed recently.</t>
  </si>
  <si>
    <t xml:space="preserve">DATA FLAGS</t>
  </si>
  <si>
    <t xml:space="preserve">1. NV Private ALL MDs reads 304 in Waterfall A, inconsistent with NV Total (150), NV Academic (35), and the source's own Private TOTAL (10,775, which reconciles only at 115). v7 uses 115 = Total - Academic (highlighted on State Market Summary).</t>
  </si>
  <si>
    <t xml:space="preserve">2. RESOLVED: the waterfall's row-level tabs contain 4,424 MDs at &gt;=10 vs 4,401 in the Waterfall A TOTAL row. The 23-MD difference is Puerto Rico (11 private + 12 academic physicians present in the row tabs but excluded from the state table, consistent with the PR-excluded universe). Waterfall A TOTALs remain canonical; the Academic by Metro tab excludes PR and ties to 4,401 exactly.</t>
  </si>
  <si>
    <t xml:space="preserve">3. Census columns (from v3): Women 25-44 totals run ~20-25% below published census figures — valid for relative ranking, never for absolute quotation. Income is population-weighted with census suppression sentinels excluded.</t>
  </si>
  <si>
    <t xml:space="preserve">HOW TO USE</t>
  </si>
  <si>
    <t xml:space="preserve">Blue cells are inputs. Reps columns (Territory Plan F, Kathy J) are adjustable — keep each column's total at 28; per-rep loads, Kathy score/rank, and wave rep counts recalculate. To re-shape a territory, move its states on State Market Summary (column T) and every dependent number recalculates.</t>
  </si>
  <si>
    <t xml:space="preserve">MSO RECLASSIFICATION (2026-07-22, per Rajiv/Kathy direction)</t>
  </si>
  <si>
    <t xml:space="preserve">All MSO-managed physicians and clinics (Unified Women's Healthcare incl. UWH entities, Axia Women's Health) are reclassified from Academic/Group to Private throughout: 106 physicians, 5 practice organizations, 7 states (TX 39, NC 37, MI 11, SC 8, NJ 6, PA 4, NY 1). Totals unchanged; only the split moves. Identification via the waterfall row-level Classification Basis field ('managed group (MSO)'). No Privia or Pediatrix rows exist in the &gt;=10 data. Full per-state amounts on the MSO Reclassification tab.</t>
  </si>
  <si>
    <t xml:space="preserve">LIMIT: MSO physicians below volume 10 cannot be identified (no row-level data below 10 exists in any source) and therefore retain their original waterfall classification in the below-10 tail. Complete ex-MSO reclassification requires the data vendor re-running the waterfall.</t>
  </si>
  <si>
    <t xml:space="preserve">V7 (2026-07-22)</t>
  </si>
  <si>
    <t xml:space="preserve">Renamed from v4 after the MSO reclassification. All live tabs carry ex-MSO numbers (universe 18,299). The pre-removal v4 numbers (Waterfall A rev1 canonical: 18,405 / 7,630 academic) are retained on the 'v4 Reference (pre-MSO)' tab.</t>
  </si>
  <si>
    <t xml:space="preserve">STATE RANKINGS TAB (2026-07-22)</t>
  </si>
  <si>
    <t xml:space="preserve">All 51 states ranked individually for territory re-alignment, in Kathy's format with her FULL weights (MDs/Rep 20 / Clinics/Rep 60 / Women 25-44 10 / Income 10 / Education 0). State-grain census appended from the 52 ZCTA files (33,765 ZCTAs, income population-weighted, 3,144 sentinels excluded) — method validated by reproducing v3's territory census values exactly. The existing 25-territory structure remains untouched pending re-alignment.</t>
  </si>
  <si>
    <t xml:space="preserve">Renamed from v6. Adds: State Rankings tab in Kathy's format with full weights (state-grain census appended from the 52 ZCTA files — method validated by reproducing v3's territory census values exactly; women total 30,870,179 matches v3). MSO reclassification (Academic-&gt;Private, totals unchanged) and the 30-rep hard cap carry forward. Full reconciliation against Waterfall A rev1 re-verified: all Total-tier figures canonical (18,405 / 5,862 / 4,401 / 1,476); only documented adjustments are the MSO split move, the NV Private cell (115 = Total - Academic), and PR exclusion.</t>
  </si>
  <si>
    <t xml:space="preserve">Target Universe Definition</t>
  </si>
  <si>
    <t xml:space="preserve">HCPs</t>
  </si>
  <si>
    <t xml:space="preserve">Reps @300/rep</t>
  </si>
  <si>
    <t xml:space="preserve">HCPs/rep @30 reps</t>
  </si>
  <si>
    <t xml:space="preserve">In 275-325 band @28?</t>
  </si>
  <si>
    <t xml:space="preserve">Status (v7)</t>
  </si>
  <si>
    <t xml:space="preserve">All prescribers (any volume)</t>
  </si>
  <si>
    <t xml:space="preserve">no</t>
  </si>
  <si>
    <t xml:space="preserve">SELECTED — v7 universe (Waterfall A rev1 canonical; v3 showed 18,406, see Read Me)</t>
  </si>
  <si>
    <t xml:space="preserve">Volume &gt;=5 (v3 selection)</t>
  </si>
  <si>
    <t xml:space="preserve">YES (292)</t>
  </si>
  <si>
    <t xml:space="preserve">superseded in v7</t>
  </si>
  <si>
    <t xml:space="preserve">Volume &gt;=10</t>
  </si>
  <si>
    <t xml:space="preserve">Volume &gt;=20</t>
  </si>
  <si>
    <t xml:space="preserve">Universe: ALL prescribers (18,405, Waterfall A rev1) per Megan/CEO direction. Rep count is a HARD CAP of 30 (~614 MDs/rep at this universe); the 'Reps @300/rep' column is scenario context only, not a staffing proposal. Allocation of the 30 is on the Territory Plan tab; every territory is staffed.</t>
  </si>
  <si>
    <t xml:space="preserve">MSO RECLASSIFICATION (per Rajiv/Kathy direction, 2026-07-22): physicians and clinics managed by MSOs (Unified Women's Healthcare, Axia) are RECLASSIFIED from Academic/Group to Private throughout this workbook. Totals are unchanged from canonical Waterfall A rev1 (18,405 MDs); only the Academic/Private split moves. Identification: the waterfall row-level Classification Basis field — every 'managed group (MSO)' row (106 physicians, 5 practice organizations). No Privia or Pediatrix rows exist in the &gt;=10 data. LIMIT: row-level data exists only for the &gt;=10 tier, so MSO physicians below volume 10 cannot be identified — any in the below-10 tail remain classified per the original waterfall (Academic/Group). Complete reclassification requires the data vendor re-running the waterfall.</t>
  </si>
  <si>
    <t xml:space="preserve">MSO organizations reclassified</t>
  </si>
  <si>
    <t xml:space="preserve">Practice Name</t>
  </si>
  <si>
    <t xml:space="preserve">Practice ID</t>
  </si>
  <si>
    <t xml:space="preserve">States</t>
  </si>
  <si>
    <t xml:space="preserve">MDs (&gt;=10)</t>
  </si>
  <si>
    <t xml:space="preserve">Unified Women's Healthcare Of Texas PLLC</t>
  </si>
  <si>
    <t xml:space="preserve">1952703373</t>
  </si>
  <si>
    <t xml:space="preserve">TX</t>
  </si>
  <si>
    <t xml:space="preserve">Uwh Of The Carolinas, PLLC</t>
  </si>
  <si>
    <t xml:space="preserve">1639506470</t>
  </si>
  <si>
    <t xml:space="preserve">NC, SC</t>
  </si>
  <si>
    <t xml:space="preserve">Uwh Of Michigan PLC</t>
  </si>
  <si>
    <t xml:space="preserve">1982352357</t>
  </si>
  <si>
    <t xml:space="preserve">MI</t>
  </si>
  <si>
    <t xml:space="preserve">Axia Women's Health</t>
  </si>
  <si>
    <t xml:space="preserve">1548215536</t>
  </si>
  <si>
    <t xml:space="preserve">NJ</t>
  </si>
  <si>
    <t xml:space="preserve">1750880118</t>
  </si>
  <si>
    <t xml:space="preserve">NY, PA</t>
  </si>
  <si>
    <t xml:space="preserve">TOTAL</t>
  </si>
  <si>
    <t xml:space="preserve">Per-state amounts moved Academic/Group -&gt; Private (Totals unchanged)</t>
  </si>
  <si>
    <t xml:space="preserve">State</t>
  </si>
  <si>
    <t xml:space="preserve">MDs All</t>
  </si>
  <si>
    <t xml:space="preserve">MDs &gt;=10</t>
  </si>
  <si>
    <t xml:space="preserve">MDs &gt;=20</t>
  </si>
  <si>
    <t xml:space="preserve">Clinics All</t>
  </si>
  <si>
    <t xml:space="preserve">Clinics &gt;=10</t>
  </si>
  <si>
    <t xml:space="preserve">Clinics &gt;=20</t>
  </si>
  <si>
    <t xml:space="preserve">NC</t>
  </si>
  <si>
    <t xml:space="preserve">NY</t>
  </si>
  <si>
    <t xml:space="preserve">PA</t>
  </si>
  <si>
    <t xml:space="preserve">SC</t>
  </si>
  <si>
    <t xml:space="preserve">Resulting workbook totals: All MDs 18,405 and all Total-tier counts UNCHANGED from canonical Waterfall A rev1. Split after reclassification: Private ALL 10,881 (was 10,775) | Academic/Group ALL 7,524 (was 7,630) | Private &gt;=10 2,989 / Academic &gt;=10 1,412 | Private &gt;=20 1,037 / Academic &gt;=20 439 | Private Clinics 3,654 / Academic Clinics 2,208. Clinic moves assume one clinic per distinct practice ID per state (each MSO org = 1 clinic in each state it operates).</t>
  </si>
  <si>
    <t xml:space="preserve">Source: Waterfall A rev1 with MSO physicians/clinics RECLASSIFIED from Academic/Group to Private (see MSO Reclassification tab; adjusted cells highlighted). Totals unchanged from canonical Waterfall A. NV Private All MDs derived as Total - Academic (source shows 304, inconsistent with its own totals; see Read Me).</t>
  </si>
  <si>
    <t xml:space="preserve">PRIVATE</t>
  </si>
  <si>
    <t xml:space="preserve">ACADEMIC/GROUP</t>
  </si>
  <si>
    <t xml:space="preserve">All MDs</t>
  </si>
  <si>
    <t xml:space="preserve">All Clinics</t>
  </si>
  <si>
    <t xml:space="preserve">Territory</t>
  </si>
  <si>
    <t xml:space="preserve">AK</t>
  </si>
  <si>
    <t xml:space="preserve">T12</t>
  </si>
  <si>
    <t xml:space="preserve">AL</t>
  </si>
  <si>
    <t xml:space="preserve">T18</t>
  </si>
  <si>
    <t xml:space="preserve">AR</t>
  </si>
  <si>
    <t xml:space="preserve">T19</t>
  </si>
  <si>
    <t xml:space="preserve">AZ</t>
  </si>
  <si>
    <t xml:space="preserve">T15</t>
  </si>
  <si>
    <t xml:space="preserve">CA</t>
  </si>
  <si>
    <t xml:space="preserve">T02</t>
  </si>
  <si>
    <t xml:space="preserve">CO</t>
  </si>
  <si>
    <t xml:space="preserve">T16</t>
  </si>
  <si>
    <t xml:space="preserve">CT</t>
  </si>
  <si>
    <t xml:space="preserve">T08</t>
  </si>
  <si>
    <t xml:space="preserve">DC</t>
  </si>
  <si>
    <t xml:space="preserve">T22</t>
  </si>
  <si>
    <t xml:space="preserve">DE</t>
  </si>
  <si>
    <t xml:space="preserve">FL</t>
  </si>
  <si>
    <t xml:space="preserve">T05</t>
  </si>
  <si>
    <t xml:space="preserve">GA</t>
  </si>
  <si>
    <t xml:space="preserve">T11</t>
  </si>
  <si>
    <t xml:space="preserve">HI</t>
  </si>
  <si>
    <t xml:space="preserve">IA</t>
  </si>
  <si>
    <t xml:space="preserve">T24</t>
  </si>
  <si>
    <t xml:space="preserve">ID</t>
  </si>
  <si>
    <t xml:space="preserve">IL</t>
  </si>
  <si>
    <t xml:space="preserve">T17</t>
  </si>
  <si>
    <t xml:space="preserve">IN</t>
  </si>
  <si>
    <t xml:space="preserve">T20</t>
  </si>
  <si>
    <t xml:space="preserve">KS</t>
  </si>
  <si>
    <t xml:space="preserve">T14</t>
  </si>
  <si>
    <t xml:space="preserve">KY</t>
  </si>
  <si>
    <t xml:space="preserve">T10</t>
  </si>
  <si>
    <t xml:space="preserve">LA</t>
  </si>
  <si>
    <t xml:space="preserve">MA</t>
  </si>
  <si>
    <t xml:space="preserve">MD</t>
  </si>
  <si>
    <t xml:space="preserve">ME</t>
  </si>
  <si>
    <t xml:space="preserve">T07</t>
  </si>
  <si>
    <t xml:space="preserve">MN</t>
  </si>
  <si>
    <t xml:space="preserve">T09</t>
  </si>
  <si>
    <t xml:space="preserve">MO</t>
  </si>
  <si>
    <t xml:space="preserve">MS</t>
  </si>
  <si>
    <t xml:space="preserve">MT</t>
  </si>
  <si>
    <t xml:space="preserve">T13</t>
  </si>
  <si>
    <t xml:space="preserve">ND</t>
  </si>
  <si>
    <t xml:space="preserve">NE</t>
  </si>
  <si>
    <t xml:space="preserve">NH</t>
  </si>
  <si>
    <t xml:space="preserve">T06</t>
  </si>
  <si>
    <t xml:space="preserve">NM</t>
  </si>
  <si>
    <t xml:space="preserve">NV</t>
  </si>
  <si>
    <t xml:space="preserve">T03</t>
  </si>
  <si>
    <t xml:space="preserve">OH</t>
  </si>
  <si>
    <t xml:space="preserve">T04</t>
  </si>
  <si>
    <t xml:space="preserve">OK</t>
  </si>
  <si>
    <t xml:space="preserve">OR</t>
  </si>
  <si>
    <t xml:space="preserve">RI</t>
  </si>
  <si>
    <t xml:space="preserve">T25</t>
  </si>
  <si>
    <t xml:space="preserve">SD</t>
  </si>
  <si>
    <t xml:space="preserve">TN</t>
  </si>
  <si>
    <t xml:space="preserve">T23</t>
  </si>
  <si>
    <t xml:space="preserve">T01</t>
  </si>
  <si>
    <t xml:space="preserve">UT</t>
  </si>
  <si>
    <t xml:space="preserve">VA</t>
  </si>
  <si>
    <t xml:space="preserve">T21</t>
  </si>
  <si>
    <t xml:space="preserve">VT</t>
  </si>
  <si>
    <t xml:space="preserve">WA</t>
  </si>
  <si>
    <t xml:space="preserve">WI</t>
  </si>
  <si>
    <t xml:space="preserve">WV</t>
  </si>
  <si>
    <t xml:space="preserve">WY</t>
  </si>
  <si>
    <t xml:space="preserve">STATE RANKINGS — Kathy's format at state grain (all 50 states + DC), for territory re-alignment. Counts from Waterfall A rev1 with MSO reclassification (via State Market Summary). Reps (J, blue) defaults to 1 per state — assign reps as you align territories and per-rep loads, Score, and Rank recalculate. Census columns (Women 25-44, Median Income, Education) aggregated ZIP-&gt;state from the 52 state ZCTA census files (33,765 ZCTAs; income population-weighted, 3,144 suppression sentinels excluded — same method as v3, validated by reproducing v3's territory values exactly). Score = Kathy's full weights: All MDs/Rep 20% / All Clinics/Rep 60% / Women 25-44 10% / Median Income 10% / Education 0%, min-max normalized. v3's census caveat applies: women totals run ~20-25% below published figures — valid for relative ranking, not absolute quotation.</t>
  </si>
  <si>
    <t xml:space="preserve">Weights:</t>
  </si>
  <si>
    <t xml:space="preserve">20%</t>
  </si>
  <si>
    <t xml:space="preserve">60%</t>
  </si>
  <si>
    <t xml:space="preserve">10%</t>
  </si>
  <si>
    <t xml:space="preserve">0%</t>
  </si>
  <si>
    <t xml:space="preserve">All Academic/Group MDs</t>
  </si>
  <si>
    <t xml:space="preserve">All Academic/Group Clinics</t>
  </si>
  <si>
    <t xml:space="preserve">Reps</t>
  </si>
  <si>
    <t xml:space="preserve">All MDs/Rep</t>
  </si>
  <si>
    <t xml:space="preserve">All Clinics/Rep</t>
  </si>
  <si>
    <t xml:space="preserve">Academic Share</t>
  </si>
  <si>
    <t xml:space="preserve">Women 25-44</t>
  </si>
  <si>
    <t xml:space="preserve">Median Income</t>
  </si>
  <si>
    <t xml:space="preserve">Education</t>
  </si>
  <si>
    <t xml:space="preserve">Score</t>
  </si>
  <si>
    <t xml:space="preserve">Rank</t>
  </si>
  <si>
    <t xml:space="preserve">Note: Reps defaults to 1/state (sum 51) as a neutral ranking baseline — NOT the staffing plan (the 30-rep allocation lives on Territory Plan / Kathy - ALL Universe). As you group states into territories, set Reps here or send the groupings over and the territory tabs will be rewired.</t>
  </si>
  <si>
    <t xml:space="preserve">Anchor Markets</t>
  </si>
  <si>
    <t xml:space="preserve">Reps (28 cap, v3 allocation — ADJUSTABLE)</t>
  </si>
  <si>
    <t xml:space="preserve">MDs per Rep</t>
  </si>
  <si>
    <t xml:space="preserve">Clinics per Rep</t>
  </si>
  <si>
    <t xml:space="preserve">Women 25-44 (v3)</t>
  </si>
  <si>
    <t xml:space="preserve">Wtd Income (v3)</t>
  </si>
  <si>
    <t xml:space="preserve">Score v7</t>
  </si>
  <si>
    <t xml:space="preserve">Rank v7</t>
  </si>
  <si>
    <t xml:space="preserve">Rank v3</t>
  </si>
  <si>
    <t xml:space="preserve">Rank Change</t>
  </si>
  <si>
    <t xml:space="preserve">Hire Wave (Kathy weights)</t>
  </si>
  <si>
    <t xml:space="preserve">Houston, Dallas, Austin</t>
  </si>
  <si>
    <t xml:space="preserve">CA-HI</t>
  </si>
  <si>
    <t xml:space="preserve">Sacramento, Los Angeles, San Diego</t>
  </si>
  <si>
    <t xml:space="preserve">New York, Brooklyn, Bronx</t>
  </si>
  <si>
    <t xml:space="preserve">Columbus, Cincinnati, Cleveland</t>
  </si>
  <si>
    <t xml:space="preserve">Miami, Boca Raton, Tampa</t>
  </si>
  <si>
    <t xml:space="preserve">PA-NJ</t>
  </si>
  <si>
    <t xml:space="preserve">Pittsburgh, Philadelphia, Voorhees</t>
  </si>
  <si>
    <t xml:space="preserve">Royal Oak, Rochester, Ann Arbor</t>
  </si>
  <si>
    <t xml:space="preserve">MA-CT-NH-ME-VT-RI</t>
  </si>
  <si>
    <t xml:space="preserve">Boston, Rocky Hill, Scarborough</t>
  </si>
  <si>
    <t xml:space="preserve">MN-WI</t>
  </si>
  <si>
    <t xml:space="preserve">Minneapolis, Milwaukee, Saint Paul</t>
  </si>
  <si>
    <t xml:space="preserve">MO-KY</t>
  </si>
  <si>
    <t xml:space="preserve">Saint Louis, Lexington, Bowling Green</t>
  </si>
  <si>
    <t xml:space="preserve">Atlanta, Augusta, Gainesville</t>
  </si>
  <si>
    <t xml:space="preserve">WA-OR-AK</t>
  </si>
  <si>
    <t xml:space="preserve">Portland, Seattle, Anchorage</t>
  </si>
  <si>
    <t xml:space="preserve">Charlotte, Morrisville, Greenville</t>
  </si>
  <si>
    <t xml:space="preserve">KS-OK-NE-NM</t>
  </si>
  <si>
    <t xml:space="preserve">Omaha, Wichita, Tulsa</t>
  </si>
  <si>
    <t xml:space="preserve">AZ-NV-ID-MT</t>
  </si>
  <si>
    <t xml:space="preserve">Phoenix, Las Vegas, Boise</t>
  </si>
  <si>
    <t xml:space="preserve">CO-UT</t>
  </si>
  <si>
    <t xml:space="preserve">Denver, Salt Lake City, Littleton</t>
  </si>
  <si>
    <t xml:space="preserve">Chicago, Downers Grove, Evanston</t>
  </si>
  <si>
    <t xml:space="preserve">AL-MS</t>
  </si>
  <si>
    <t xml:space="preserve">Birmingham, Flowood, Hattiesburg</t>
  </si>
  <si>
    <t xml:space="preserve">LA-AR</t>
  </si>
  <si>
    <t xml:space="preserve">Baton Rouge, Fayetteville, Little Rock</t>
  </si>
  <si>
    <t xml:space="preserve">Indianapolis, Fort Wayne, Carmel</t>
  </si>
  <si>
    <t xml:space="preserve">Arlington, Falls Church, Virginia Beach</t>
  </si>
  <si>
    <t xml:space="preserve">MD-WV-DE-DC</t>
  </si>
  <si>
    <t xml:space="preserve">Huntington, Baltimore, Silver Spring</t>
  </si>
  <si>
    <t xml:space="preserve">Memphis, Knoxville, Nashville</t>
  </si>
  <si>
    <t xml:space="preserve">IA-SD-ND-WY</t>
  </si>
  <si>
    <t xml:space="preserve">Sioux Falls, West Des Moines, Cedar Rapids</t>
  </si>
  <si>
    <t xml:space="preserve">Greenville, Florence, Spartanburg</t>
  </si>
  <si>
    <t xml:space="preserve">HARD CAP: 30 reps. Allocation (blue, adjustable — keep the column total at 30): 2 reps each for TX, CA-HI, NY, FL, PA-NJ; 1 rep for all other 20 territories. Per-rep loads and dependent figures recalculate. PRIORITIZATION: hiring waves are driven by the Kathy - ALL Universe score/rank (per-rep weights 20/60/10/10); the Score v7 column here (market-size weights, rep-independent) is retained for reference only. Against the ALL-MD universe (18,405) the 30 reps average ~614 MDs each — use with the &gt;=10 / &gt;=20 tiers on State Market Summary as a prioritization model. Women 25-44 and Wtd Income carried from v3 unchanged (blue = input).</t>
  </si>
  <si>
    <t xml:space="preserve">Wave</t>
  </si>
  <si>
    <t xml:space="preserve">Territories Staffed (v7 score order)</t>
  </si>
  <si>
    <t xml:space="preserve">Reps Added</t>
  </si>
  <si>
    <t xml:space="preserve">Cumulative Reps</t>
  </si>
  <si>
    <t xml:space="preserve">Rationale</t>
  </si>
  <si>
    <t xml:space="preserve">Wave 1</t>
  </si>
  <si>
    <t xml:space="preserve">T02 CA-HI; T08 MA-CT-NH-ME-VT-RI; T01 TX; T17 IL; T12 WA-OR-AK; T11 GA; T15 AZ-NV-ID-MT</t>
  </si>
  <si>
    <t xml:space="preserve">Highest Kathy-weighted score; staff first</t>
  </si>
  <si>
    <t xml:space="preserve">Wave 2</t>
  </si>
  <si>
    <t xml:space="preserve">T07 MI; T03 NY; T09 MN-WI; T04 OH; T13 NC</t>
  </si>
  <si>
    <t xml:space="preserve">Second tier</t>
  </si>
  <si>
    <t xml:space="preserve">Wave 3</t>
  </si>
  <si>
    <t xml:space="preserve">T10 MO-KY; T16 CO-UT; T14 KS-OK-NE-NM; T06 PA-NJ; T22 MD-WV-DE-DC; T21 VA; T19 LA-AR</t>
  </si>
  <si>
    <t xml:space="preserve">Regional completion</t>
  </si>
  <si>
    <t xml:space="preserve">Wave 4</t>
  </si>
  <si>
    <t xml:space="preserve">T05 FL; T18 AL-MS; T23 TN; T20 IN; T24 IA-SD-ND-WY; T25 SC</t>
  </si>
  <si>
    <t xml:space="preserve">Balance of the 28; includes the two unstaffed territories</t>
  </si>
  <si>
    <t xml:space="preserve">CAVEAT: rankings are pure opportunity, not mandate-adjusted. Northeast (incl. mandate states) remains in early waves under v3 weights. Verify the current mandate list (Phase 2) and re-sequence before committing hires.</t>
  </si>
  <si>
    <t xml:space="preserve">v7 notes: waves ranked by the Kathy - ALL Universe score (All MDs/Rep 20% / All Clinics/Rep 60% / Women 25-44 10% / Median Income 10%), wave sizes 7/5/7/6. Rep counts use the hard 30-cap allocation (2 each: TX, CA-HI, NY, FL, PA-NJ; 1 each: 18 territories). Cumulative total = 30. NOTE: because the score weights per-rep load, editing the Reps column re-shuffles ranks and wave membership; the wave lists in column B are a snapshot of the current allocation — re-check after any rep change.</t>
  </si>
  <si>
    <t xml:space="preserve">Kathy - ALL Universe: all counts sum Waterfall A rev1 labeled columns with MSO reclassification (via State Market Summary; see MSO Reclassification tab). Reps (J, blue) = the 30-rep hard-cap allocation (2 each: TX, CA-HI, NY, FL, PA-NJ; 1 each: all other 20 territories) — overwrite freely, keep total 30; per-rep loads, Academic Share, Score, and Rank recalculate. All territories are staffed.</t>
  </si>
  <si>
    <t xml:space="preserve">Hire Wave</t>
  </si>
  <si>
    <t xml:space="preserve">T01 TX</t>
  </si>
  <si>
    <t xml:space="preserve">T02 CA-HI</t>
  </si>
  <si>
    <t xml:space="preserve">T03 NY</t>
  </si>
  <si>
    <t xml:space="preserve">T04 OH</t>
  </si>
  <si>
    <t xml:space="preserve">T05 FL</t>
  </si>
  <si>
    <t xml:space="preserve">T06 PA-NJ</t>
  </si>
  <si>
    <t xml:space="preserve">T07 MI</t>
  </si>
  <si>
    <t xml:space="preserve">T08 MA-CT-NH-ME-VT-RI</t>
  </si>
  <si>
    <t xml:space="preserve">T09 MN-WI</t>
  </si>
  <si>
    <t xml:space="preserve">T10 MO-KY</t>
  </si>
  <si>
    <t xml:space="preserve">T11 GA</t>
  </si>
  <si>
    <t xml:space="preserve">T12 WA-OR-AK</t>
  </si>
  <si>
    <t xml:space="preserve">T13 NC</t>
  </si>
  <si>
    <t xml:space="preserve">T14 KS-OK-NE-NM</t>
  </si>
  <si>
    <t xml:space="preserve">T15 AZ-NV-ID-MT</t>
  </si>
  <si>
    <t xml:space="preserve">T16 CO-UT</t>
  </si>
  <si>
    <t xml:space="preserve">T17 IL</t>
  </si>
  <si>
    <t xml:space="preserve">T18 AL-MS</t>
  </si>
  <si>
    <t xml:space="preserve">T19 LA-AR</t>
  </si>
  <si>
    <t xml:space="preserve">T20 IN</t>
  </si>
  <si>
    <t xml:space="preserve">T21 VA</t>
  </si>
  <si>
    <t xml:space="preserve">T22 MD-WV-DE-DC</t>
  </si>
  <si>
    <t xml:space="preserve">T23 TN</t>
  </si>
  <si>
    <t xml:space="preserve">T24 IA-SD-ND-WY</t>
  </si>
  <si>
    <t xml:space="preserve">T25 SC</t>
  </si>
  <si>
    <t xml:space="preserve">Score = min-max normalization (0-100 across staffed territories) of All MDs/Rep (20%), All Clinics/Rep (60%), Women 25-44 (10%), Median Income (10%); Education 0% (displayed, not scored). Blue cells are inputs: Reps carries the 28-rep hard-cap allocation; Women 25-44 / Median Income / Education carried from v3 Territory Plan unchanged (v3 census data-quality caveats apply). All MD/clinic counts (F-I) are sums of member states from Waterfall A rev1 labeled columns only; stray unlabeled scratch columns in the source were excluded.</t>
  </si>
  <si>
    <t xml:space="preserve">ACADEMIC SHARE (column M) = All Academic/Group MDs / All MDs (column H / column F). Percent of a territory's physician universe practicing in academic, hospital/system, or group settings versus private practice; MSO-managed practices (UWH, Axia) are RECLASSIFIED to Private per direction — see MSO Reclassification tab. Classification otherwise per the Data Request waterfall method (CMS facility IDs and hospital/system/university name tokens). National benchmark: 7,524 / 18,405 = 40.9%. Display only (0% score weight). Note: metro-level academic splits exist only for the &gt;=10 tier; no row-level data exists below volume 10.</t>
  </si>
  <si>
    <t xml:space="preserve">UNIVERSE: &gt;=10 volume tier ONLY — NOT the full ALL-MD universe. Source: Waterfall A rev1 row-level tabs, with the 106 MSO physicians reclassified Academic-&gt;Private (see MSO Reclassification tab; adjusted cells highlighted). Metro = city as recorded; no MSA grouping until the Phase 2 clinic-address append. Puerto Rico excluded. TOTAL row ties to Waterfall A &gt;=10 totals exactly: 1,412 academic / 2,989 private / 4,401.</t>
  </si>
  <si>
    <t xml:space="preserve">Metro (city as recorded)</t>
  </si>
  <si>
    <t xml:space="preserve">Academic/Group MDs (&gt;=10)</t>
  </si>
  <si>
    <t xml:space="preserve">Private MDs (&gt;=10)</t>
  </si>
  <si>
    <t xml:space="preserve">Total MDs (&gt;=10)</t>
  </si>
  <si>
    <t xml:space="preserve">Academic Share (&gt;=10)</t>
  </si>
  <si>
    <t xml:space="preserve">Anchorage</t>
  </si>
  <si>
    <t xml:space="preserve">Fairbanks</t>
  </si>
  <si>
    <t xml:space="preserve">Homer</t>
  </si>
  <si>
    <t xml:space="preserve">Palmer</t>
  </si>
  <si>
    <t xml:space="preserve">Wasilla</t>
  </si>
  <si>
    <t xml:space="preserve">Birmingham</t>
  </si>
  <si>
    <t xml:space="preserve">Mobile</t>
  </si>
  <si>
    <t xml:space="preserve">Huntsville</t>
  </si>
  <si>
    <t xml:space="preserve">Montgomery</t>
  </si>
  <si>
    <t xml:space="preserve">Dothan</t>
  </si>
  <si>
    <t xml:space="preserve">Anniston</t>
  </si>
  <si>
    <t xml:space="preserve">Auburn</t>
  </si>
  <si>
    <t xml:space="preserve">Florence</t>
  </si>
  <si>
    <t xml:space="preserve">Fairhope</t>
  </si>
  <si>
    <t xml:space="preserve">Alabaster</t>
  </si>
  <si>
    <t xml:space="preserve">Boaz</t>
  </si>
  <si>
    <t xml:space="preserve">Gadsden</t>
  </si>
  <si>
    <t xml:space="preserve">Jasper</t>
  </si>
  <si>
    <t xml:space="preserve">Madison</t>
  </si>
  <si>
    <t xml:space="preserve">Opelika</t>
  </si>
  <si>
    <t xml:space="preserve">Andalusia</t>
  </si>
  <si>
    <t xml:space="preserve">Athens</t>
  </si>
  <si>
    <t xml:space="preserve">Bessemer</t>
  </si>
  <si>
    <t xml:space="preserve">Cullman</t>
  </si>
  <si>
    <t xml:space="preserve">Fort Payne</t>
  </si>
  <si>
    <t xml:space="preserve">Oxford</t>
  </si>
  <si>
    <t xml:space="preserve">Scottsboro</t>
  </si>
  <si>
    <t xml:space="preserve">Sheffield</t>
  </si>
  <si>
    <t xml:space="preserve">Sylacauga</t>
  </si>
  <si>
    <t xml:space="preserve">Little Rock</t>
  </si>
  <si>
    <t xml:space="preserve">Fayetteville</t>
  </si>
  <si>
    <t xml:space="preserve">Conway</t>
  </si>
  <si>
    <t xml:space="preserve">Fort Smith</t>
  </si>
  <si>
    <t xml:space="preserve">Bentonville</t>
  </si>
  <si>
    <t xml:space="preserve">Jonesboro</t>
  </si>
  <si>
    <t xml:space="preserve">Batesville</t>
  </si>
  <si>
    <t xml:space="preserve">Hot Springs National Park</t>
  </si>
  <si>
    <t xml:space="preserve">Paragould</t>
  </si>
  <si>
    <t xml:space="preserve">Rogers</t>
  </si>
  <si>
    <t xml:space="preserve">Benton</t>
  </si>
  <si>
    <t xml:space="preserve">Russellville</t>
  </si>
  <si>
    <t xml:space="preserve">Arkadelphia</t>
  </si>
  <si>
    <t xml:space="preserve">El Dorado</t>
  </si>
  <si>
    <t xml:space="preserve">Forrest City</t>
  </si>
  <si>
    <t xml:space="preserve">Monticello</t>
  </si>
  <si>
    <t xml:space="preserve">North Little Rock</t>
  </si>
  <si>
    <t xml:space="preserve">Searcy</t>
  </si>
  <si>
    <t xml:space="preserve">Springdale</t>
  </si>
  <si>
    <t xml:space="preserve">Phoenix</t>
  </si>
  <si>
    <t xml:space="preserve">Chandler</t>
  </si>
  <si>
    <t xml:space="preserve">Yuma</t>
  </si>
  <si>
    <t xml:space="preserve">Glendale</t>
  </si>
  <si>
    <t xml:space="preserve">Mesa</t>
  </si>
  <si>
    <t xml:space="preserve">Peoria</t>
  </si>
  <si>
    <t xml:space="preserve">Scottsdale</t>
  </si>
  <si>
    <t xml:space="preserve">Tucson</t>
  </si>
  <si>
    <t xml:space="preserve">Gilbert</t>
  </si>
  <si>
    <t xml:space="preserve">Fort Mohave</t>
  </si>
  <si>
    <t xml:space="preserve">Goodyear</t>
  </si>
  <si>
    <t xml:space="preserve">Kingman</t>
  </si>
  <si>
    <t xml:space="preserve">Safford</t>
  </si>
  <si>
    <t xml:space="preserve">Surprise</t>
  </si>
  <si>
    <t xml:space="preserve">Sacramento</t>
  </si>
  <si>
    <t xml:space="preserve">Los Angeles</t>
  </si>
  <si>
    <t xml:space="preserve">Palo Alto</t>
  </si>
  <si>
    <t xml:space="preserve">San Diego</t>
  </si>
  <si>
    <t xml:space="preserve">Modesto</t>
  </si>
  <si>
    <t xml:space="preserve">Fountain Valley</t>
  </si>
  <si>
    <t xml:space="preserve">Newport Beach</t>
  </si>
  <si>
    <t xml:space="preserve">San Jose</t>
  </si>
  <si>
    <t xml:space="preserve">Brea</t>
  </si>
  <si>
    <t xml:space="preserve">Whittier</t>
  </si>
  <si>
    <t xml:space="preserve">Bakersfield</t>
  </si>
  <si>
    <t xml:space="preserve">Mission Hills</t>
  </si>
  <si>
    <t xml:space="preserve">Murrieta</t>
  </si>
  <si>
    <t xml:space="preserve">Orange</t>
  </si>
  <si>
    <t xml:space="preserve">Beverly Hills</t>
  </si>
  <si>
    <t xml:space="preserve">Carmichael</t>
  </si>
  <si>
    <t xml:space="preserve">Santa Monica</t>
  </si>
  <si>
    <t xml:space="preserve">Torrance</t>
  </si>
  <si>
    <t xml:space="preserve">Walnut Creek</t>
  </si>
  <si>
    <t xml:space="preserve">Anaheim</t>
  </si>
  <si>
    <t xml:space="preserve">Carmel</t>
  </si>
  <si>
    <t xml:space="preserve">Fresno</t>
  </si>
  <si>
    <t xml:space="preserve">Hanford</t>
  </si>
  <si>
    <t xml:space="preserve">Mountain View</t>
  </si>
  <si>
    <t xml:space="preserve">Santa Ana</t>
  </si>
  <si>
    <t xml:space="preserve">Santa Rosa</t>
  </si>
  <si>
    <t xml:space="preserve">Tarzana</t>
  </si>
  <si>
    <t xml:space="preserve">Upland</t>
  </si>
  <si>
    <t xml:space="preserve">Ventura</t>
  </si>
  <si>
    <t xml:space="preserve">West Hills</t>
  </si>
  <si>
    <t xml:space="preserve">Yuba City</t>
  </si>
  <si>
    <t xml:space="preserve">Alhambra</t>
  </si>
  <si>
    <t xml:space="preserve">Arcadia</t>
  </si>
  <si>
    <t xml:space="preserve">Burbank</t>
  </si>
  <si>
    <t xml:space="preserve">Burlingame</t>
  </si>
  <si>
    <t xml:space="preserve">Costa Mesa</t>
  </si>
  <si>
    <t xml:space="preserve">Downey</t>
  </si>
  <si>
    <t xml:space="preserve">Escondido</t>
  </si>
  <si>
    <t xml:space="preserve">Fremont</t>
  </si>
  <si>
    <t xml:space="preserve">Lodi</t>
  </si>
  <si>
    <t xml:space="preserve">Los Gatos</t>
  </si>
  <si>
    <t xml:space="preserve">Madera</t>
  </si>
  <si>
    <t xml:space="preserve">Marysville</t>
  </si>
  <si>
    <t xml:space="preserve">Oroville</t>
  </si>
  <si>
    <t xml:space="preserve">Oxnard</t>
  </si>
  <si>
    <t xml:space="preserve">Pasadena</t>
  </si>
  <si>
    <t xml:space="preserve">Pomona</t>
  </si>
  <si>
    <t xml:space="preserve">Porterville</t>
  </si>
  <si>
    <t xml:space="preserve">Redding</t>
  </si>
  <si>
    <t xml:space="preserve">Redwood City</t>
  </si>
  <si>
    <t xml:space="preserve">Roseville</t>
  </si>
  <si>
    <t xml:space="preserve">Salinas</t>
  </si>
  <si>
    <t xml:space="preserve">San Francisco</t>
  </si>
  <si>
    <t xml:space="preserve">San Luis Obispo</t>
  </si>
  <si>
    <t xml:space="preserve">Sonora</t>
  </si>
  <si>
    <t xml:space="preserve">Stockton</t>
  </si>
  <si>
    <t xml:space="preserve">Turlock</t>
  </si>
  <si>
    <t xml:space="preserve">Woodland</t>
  </si>
  <si>
    <t xml:space="preserve">Apple Valley</t>
  </si>
  <si>
    <t xml:space="preserve">Banning</t>
  </si>
  <si>
    <t xml:space="preserve">Brawley</t>
  </si>
  <si>
    <t xml:space="preserve">Castro Valley</t>
  </si>
  <si>
    <t xml:space="preserve">Chino</t>
  </si>
  <si>
    <t xml:space="preserve">Chowchilla</t>
  </si>
  <si>
    <t xml:space="preserve">Chula Vista</t>
  </si>
  <si>
    <t xml:space="preserve">Clovis</t>
  </si>
  <si>
    <t xml:space="preserve">Corona</t>
  </si>
  <si>
    <t xml:space="preserve">Covina</t>
  </si>
  <si>
    <t xml:space="preserve">Crescent City</t>
  </si>
  <si>
    <t xml:space="preserve">Delano</t>
  </si>
  <si>
    <t xml:space="preserve">Eastvale</t>
  </si>
  <si>
    <t xml:space="preserve">El Cajon</t>
  </si>
  <si>
    <t xml:space="preserve">Encinitas</t>
  </si>
  <si>
    <t xml:space="preserve">Fallbrook</t>
  </si>
  <si>
    <t xml:space="preserve">Folsom</t>
  </si>
  <si>
    <t xml:space="preserve">Fullerton</t>
  </si>
  <si>
    <t xml:space="preserve">Greenbrae</t>
  </si>
  <si>
    <t xml:space="preserve">Hacienda Heights</t>
  </si>
  <si>
    <t xml:space="preserve">Huntington Beach</t>
  </si>
  <si>
    <t xml:space="preserve">La Jolla</t>
  </si>
  <si>
    <t xml:space="preserve">Laguna Hills</t>
  </si>
  <si>
    <t xml:space="preserve">Lancaster</t>
  </si>
  <si>
    <t xml:space="preserve">Lindsay</t>
  </si>
  <si>
    <t xml:space="preserve">Loma Linda</t>
  </si>
  <si>
    <t xml:space="preserve">Menlo Park</t>
  </si>
  <si>
    <t xml:space="preserve">Montclair</t>
  </si>
  <si>
    <t xml:space="preserve">Monterey Park</t>
  </si>
  <si>
    <t xml:space="preserve">Newhall</t>
  </si>
  <si>
    <t xml:space="preserve">Norwalk</t>
  </si>
  <si>
    <t xml:space="preserve">Novato</t>
  </si>
  <si>
    <t xml:space="preserve">Oakland</t>
  </si>
  <si>
    <t xml:space="preserve">Oceanside</t>
  </si>
  <si>
    <t xml:space="preserve">Olivehurst</t>
  </si>
  <si>
    <t xml:space="preserve">Orinda</t>
  </si>
  <si>
    <t xml:space="preserve">Poway</t>
  </si>
  <si>
    <t xml:space="preserve">Rancho Cucamonga</t>
  </si>
  <si>
    <t xml:space="preserve">Rancho Mirage</t>
  </si>
  <si>
    <t xml:space="preserve">Reedley</t>
  </si>
  <si>
    <t xml:space="preserve">Riverside</t>
  </si>
  <si>
    <t xml:space="preserve">Rosemead</t>
  </si>
  <si>
    <t xml:space="preserve">San Bernardino</t>
  </si>
  <si>
    <t xml:space="preserve">San Carlos</t>
  </si>
  <si>
    <t xml:space="preserve">San Rafael</t>
  </si>
  <si>
    <t xml:space="preserve">Santa Cruz</t>
  </si>
  <si>
    <t xml:space="preserve">Selma</t>
  </si>
  <si>
    <t xml:space="preserve">Simi Valley</t>
  </si>
  <si>
    <t xml:space="preserve">South Gate</t>
  </si>
  <si>
    <t xml:space="preserve">Susanville</t>
  </si>
  <si>
    <t xml:space="preserve">Temecula</t>
  </si>
  <si>
    <t xml:space="preserve">Thousand Oaks</t>
  </si>
  <si>
    <t xml:space="preserve">Truckee</t>
  </si>
  <si>
    <t xml:space="preserve">Tulare</t>
  </si>
  <si>
    <t xml:space="preserve">Ukiah</t>
  </si>
  <si>
    <t xml:space="preserve">Valencia</t>
  </si>
  <si>
    <t xml:space="preserve">Vista</t>
  </si>
  <si>
    <t xml:space="preserve">Westlake Village</t>
  </si>
  <si>
    <t xml:space="preserve">Westminster</t>
  </si>
  <si>
    <t xml:space="preserve">Denver</t>
  </si>
  <si>
    <t xml:space="preserve">Littleton</t>
  </si>
  <si>
    <t xml:space="preserve">Fort Collins</t>
  </si>
  <si>
    <t xml:space="preserve">Aurora</t>
  </si>
  <si>
    <t xml:space="preserve">Grand Junction</t>
  </si>
  <si>
    <t xml:space="preserve">Loveland</t>
  </si>
  <si>
    <t xml:space="preserve">Colorado Springs</t>
  </si>
  <si>
    <t xml:space="preserve">Englewood</t>
  </si>
  <si>
    <t xml:space="preserve">Castle Rock</t>
  </si>
  <si>
    <t xml:space="preserve">Aspen</t>
  </si>
  <si>
    <t xml:space="preserve">Frisco</t>
  </si>
  <si>
    <t xml:space="preserve">Parker</t>
  </si>
  <si>
    <t xml:space="preserve">Steamboat Springs</t>
  </si>
  <si>
    <t xml:space="preserve">Alamosa</t>
  </si>
  <si>
    <t xml:space="preserve">Breckenridge</t>
  </si>
  <si>
    <t xml:space="preserve">Brighton</t>
  </si>
  <si>
    <t xml:space="preserve">Broomfield</t>
  </si>
  <si>
    <t xml:space="preserve">Commerce City</t>
  </si>
  <si>
    <t xml:space="preserve">Glenwood Springs</t>
  </si>
  <si>
    <t xml:space="preserve">Lafayette</t>
  </si>
  <si>
    <t xml:space="preserve">Lone Tree</t>
  </si>
  <si>
    <t xml:space="preserve">Pueblo</t>
  </si>
  <si>
    <t xml:space="preserve">Rifle</t>
  </si>
  <si>
    <t xml:space="preserve">Vail</t>
  </si>
  <si>
    <t xml:space="preserve">Rocky Hill</t>
  </si>
  <si>
    <t xml:space="preserve">Hartford</t>
  </si>
  <si>
    <t xml:space="preserve">New Britain</t>
  </si>
  <si>
    <t xml:space="preserve">Bridgeport</t>
  </si>
  <si>
    <t xml:space="preserve">New Haven</t>
  </si>
  <si>
    <t xml:space="preserve">Stamford</t>
  </si>
  <si>
    <t xml:space="preserve">Bristol</t>
  </si>
  <si>
    <t xml:space="preserve">Derby</t>
  </si>
  <si>
    <t xml:space="preserve">Norwich</t>
  </si>
  <si>
    <t xml:space="preserve">Putnam</t>
  </si>
  <si>
    <t xml:space="preserve">South Windsor</t>
  </si>
  <si>
    <t xml:space="preserve">Waterbury</t>
  </si>
  <si>
    <t xml:space="preserve">West Hartford</t>
  </si>
  <si>
    <t xml:space="preserve">Washington</t>
  </si>
  <si>
    <t xml:space="preserve">Dover</t>
  </si>
  <si>
    <t xml:space="preserve">Lewes</t>
  </si>
  <si>
    <t xml:space="preserve">Miami</t>
  </si>
  <si>
    <t xml:space="preserve">Boca Raton</t>
  </si>
  <si>
    <t xml:space="preserve">Tampa</t>
  </si>
  <si>
    <t xml:space="preserve">Orlando</t>
  </si>
  <si>
    <t xml:space="preserve">Hialeah</t>
  </si>
  <si>
    <t xml:space="preserve">Kissimmee</t>
  </si>
  <si>
    <t xml:space="preserve">Jacksonville</t>
  </si>
  <si>
    <t xml:space="preserve">Hollywood</t>
  </si>
  <si>
    <t xml:space="preserve">Boynton Beach</t>
  </si>
  <si>
    <t xml:space="preserve">Panama City</t>
  </si>
  <si>
    <t xml:space="preserve">Pensacola</t>
  </si>
  <si>
    <t xml:space="preserve">Lakeland</t>
  </si>
  <si>
    <t xml:space="preserve">Melbourne</t>
  </si>
  <si>
    <t xml:space="preserve">Milton</t>
  </si>
  <si>
    <t xml:space="preserve">Naples</t>
  </si>
  <si>
    <t xml:space="preserve">Ocala</t>
  </si>
  <si>
    <t xml:space="preserve">Tallahassee</t>
  </si>
  <si>
    <t xml:space="preserve">Bradenton</t>
  </si>
  <si>
    <t xml:space="preserve">Brooksville</t>
  </si>
  <si>
    <t xml:space="preserve">Clearwater</t>
  </si>
  <si>
    <t xml:space="preserve">Crestview</t>
  </si>
  <si>
    <t xml:space="preserve">Daytona Beach</t>
  </si>
  <si>
    <t xml:space="preserve">Fort Myers</t>
  </si>
  <si>
    <t xml:space="preserve">Fort Walton Beach</t>
  </si>
  <si>
    <t xml:space="preserve">Gainesville</t>
  </si>
  <si>
    <t xml:space="preserve">Haines City</t>
  </si>
  <si>
    <t xml:space="preserve">Indialantic</t>
  </si>
  <si>
    <t xml:space="preserve">Inverness</t>
  </si>
  <si>
    <t xml:space="preserve">Lake Worth</t>
  </si>
  <si>
    <t xml:space="preserve">Loxahatchee</t>
  </si>
  <si>
    <t xml:space="preserve">Miami Beach</t>
  </si>
  <si>
    <t xml:space="preserve">Middleburg</t>
  </si>
  <si>
    <t xml:space="preserve">Ocoee</t>
  </si>
  <si>
    <t xml:space="preserve">Okeechobee</t>
  </si>
  <si>
    <t xml:space="preserve">Parrish</t>
  </si>
  <si>
    <t xml:space="preserve">Pembroke Pines</t>
  </si>
  <si>
    <t xml:space="preserve">Plant City</t>
  </si>
  <si>
    <t xml:space="preserve">Sarasota</t>
  </si>
  <si>
    <t xml:space="preserve">Sebring</t>
  </si>
  <si>
    <t xml:space="preserve">Titusville</t>
  </si>
  <si>
    <t xml:space="preserve">Trinity</t>
  </si>
  <si>
    <t xml:space="preserve">Vero Beach</t>
  </si>
  <si>
    <t xml:space="preserve">Wellington</t>
  </si>
  <si>
    <t xml:space="preserve">Wesley Chapel</t>
  </si>
  <si>
    <t xml:space="preserve">West Palm Beach</t>
  </si>
  <si>
    <t xml:space="preserve">Winter Park</t>
  </si>
  <si>
    <t xml:space="preserve">Zephyrhills</t>
  </si>
  <si>
    <t xml:space="preserve">Atlanta</t>
  </si>
  <si>
    <t xml:space="preserve">Augusta</t>
  </si>
  <si>
    <t xml:space="preserve">Marietta</t>
  </si>
  <si>
    <t xml:space="preserve">Macon</t>
  </si>
  <si>
    <t xml:space="preserve">Carrollton</t>
  </si>
  <si>
    <t xml:space="preserve">Albany</t>
  </si>
  <si>
    <t xml:space="preserve">Columbus</t>
  </si>
  <si>
    <t xml:space="preserve">Dalton</t>
  </si>
  <si>
    <t xml:space="preserve">Rome</t>
  </si>
  <si>
    <t xml:space="preserve">Douglas</t>
  </si>
  <si>
    <t xml:space="preserve">Lawrenceville</t>
  </si>
  <si>
    <t xml:space="preserve">Valdosta</t>
  </si>
  <si>
    <t xml:space="preserve">Brunswick</t>
  </si>
  <si>
    <t xml:space="preserve">Savannah</t>
  </si>
  <si>
    <t xml:space="preserve">Canton</t>
  </si>
  <si>
    <t xml:space="preserve">Cartersville</t>
  </si>
  <si>
    <t xml:space="preserve">Cordele</t>
  </si>
  <si>
    <t xml:space="preserve">Covington</t>
  </si>
  <si>
    <t xml:space="preserve">Decatur</t>
  </si>
  <si>
    <t xml:space="preserve">Lagrange</t>
  </si>
  <si>
    <t xml:space="preserve">Snellville</t>
  </si>
  <si>
    <t xml:space="preserve">Statesboro</t>
  </si>
  <si>
    <t xml:space="preserve">Suwanee</t>
  </si>
  <si>
    <t xml:space="preserve">Watkinsville</t>
  </si>
  <si>
    <t xml:space="preserve">Americus</t>
  </si>
  <si>
    <t xml:space="preserve">Bainbridge</t>
  </si>
  <si>
    <t xml:space="preserve">Blairsville</t>
  </si>
  <si>
    <t xml:space="preserve">Cairo</t>
  </si>
  <si>
    <t xml:space="preserve">Calhoun</t>
  </si>
  <si>
    <t xml:space="preserve">Conyers</t>
  </si>
  <si>
    <t xml:space="preserve">Cumming</t>
  </si>
  <si>
    <t xml:space="preserve">Dublin</t>
  </si>
  <si>
    <t xml:space="preserve">Greensboro</t>
  </si>
  <si>
    <t xml:space="preserve">Jesup</t>
  </si>
  <si>
    <t xml:space="preserve">Johns Creek</t>
  </si>
  <si>
    <t xml:space="preserve">Lavonia</t>
  </si>
  <si>
    <t xml:space="preserve">Moultrie</t>
  </si>
  <si>
    <t xml:space="preserve">Peachtree Corners</t>
  </si>
  <si>
    <t xml:space="preserve">Stockbridge</t>
  </si>
  <si>
    <t xml:space="preserve">Sylvania</t>
  </si>
  <si>
    <t xml:space="preserve">Tifton</t>
  </si>
  <si>
    <t xml:space="preserve">Tucker</t>
  </si>
  <si>
    <t xml:space="preserve">Vidalia</t>
  </si>
  <si>
    <t xml:space="preserve">Warner Robins</t>
  </si>
  <si>
    <t xml:space="preserve">Honolulu</t>
  </si>
  <si>
    <t xml:space="preserve">Aiea</t>
  </si>
  <si>
    <t xml:space="preserve">Hilo</t>
  </si>
  <si>
    <t xml:space="preserve">Lihue</t>
  </si>
  <si>
    <t xml:space="preserve">Kahuku</t>
  </si>
  <si>
    <t xml:space="preserve">Kailua</t>
  </si>
  <si>
    <t xml:space="preserve">Waimea</t>
  </si>
  <si>
    <t xml:space="preserve">West Des Moines</t>
  </si>
  <si>
    <t xml:space="preserve">Ames</t>
  </si>
  <si>
    <t xml:space="preserve">Cedar Rapids</t>
  </si>
  <si>
    <t xml:space="preserve">Dubuque</t>
  </si>
  <si>
    <t xml:space="preserve">Iowa City</t>
  </si>
  <si>
    <t xml:space="preserve">Des Moines</t>
  </si>
  <si>
    <t xml:space="preserve">Davenport</t>
  </si>
  <si>
    <t xml:space="preserve">Sioux City</t>
  </si>
  <si>
    <t xml:space="preserve">Council Bluffs</t>
  </si>
  <si>
    <t xml:space="preserve">Oskaloosa</t>
  </si>
  <si>
    <t xml:space="preserve">Waterloo</t>
  </si>
  <si>
    <t xml:space="preserve">Clarion</t>
  </si>
  <si>
    <t xml:space="preserve">Harlan</t>
  </si>
  <si>
    <t xml:space="preserve">Manchester</t>
  </si>
  <si>
    <t xml:space="preserve">Mason City</t>
  </si>
  <si>
    <t xml:space="preserve">Ottumwa</t>
  </si>
  <si>
    <t xml:space="preserve">Shenandoah</t>
  </si>
  <si>
    <t xml:space="preserve">Waverly</t>
  </si>
  <si>
    <t xml:space="preserve">Boise</t>
  </si>
  <si>
    <t xml:space="preserve">Idaho Falls</t>
  </si>
  <si>
    <t xml:space="preserve">Coeur D Alene</t>
  </si>
  <si>
    <t xml:space="preserve">Pocatello</t>
  </si>
  <si>
    <t xml:space="preserve">Nampa</t>
  </si>
  <si>
    <t xml:space="preserve">Rexburg</t>
  </si>
  <si>
    <t xml:space="preserve">Garden City</t>
  </si>
  <si>
    <t xml:space="preserve">Ketchum</t>
  </si>
  <si>
    <t xml:space="preserve">Lewiston</t>
  </si>
  <si>
    <t xml:space="preserve">Meridian</t>
  </si>
  <si>
    <t xml:space="preserve">Moscow</t>
  </si>
  <si>
    <t xml:space="preserve">Chicago</t>
  </si>
  <si>
    <t xml:space="preserve">Downers Grove</t>
  </si>
  <si>
    <t xml:space="preserve">Evanston</t>
  </si>
  <si>
    <t xml:space="preserve">Maryville</t>
  </si>
  <si>
    <t xml:space="preserve">Bloomington</t>
  </si>
  <si>
    <t xml:space="preserve">Deerfield</t>
  </si>
  <si>
    <t xml:space="preserve">Rockford</t>
  </si>
  <si>
    <t xml:space="preserve">Arlington Heights</t>
  </si>
  <si>
    <t xml:space="preserve">Carol Stream</t>
  </si>
  <si>
    <t xml:space="preserve">Orland Park</t>
  </si>
  <si>
    <t xml:space="preserve">Dixon</t>
  </si>
  <si>
    <t xml:space="preserve">Elk Grove Village</t>
  </si>
  <si>
    <t xml:space="preserve">Gurnee</t>
  </si>
  <si>
    <t xml:space="preserve">La Grange</t>
  </si>
  <si>
    <t xml:space="preserve">New Lenox</t>
  </si>
  <si>
    <t xml:space="preserve">Oak Lawn</t>
  </si>
  <si>
    <t xml:space="preserve">Springfield</t>
  </si>
  <si>
    <t xml:space="preserve">Urbana</t>
  </si>
  <si>
    <t xml:space="preserve">Willowbrook</t>
  </si>
  <si>
    <t xml:space="preserve">Abingdon</t>
  </si>
  <si>
    <t xml:space="preserve">Alton</t>
  </si>
  <si>
    <t xml:space="preserve">Belleville</t>
  </si>
  <si>
    <t xml:space="preserve">Breese</t>
  </si>
  <si>
    <t xml:space="preserve">Elgin</t>
  </si>
  <si>
    <t xml:space="preserve">Evergreen Park</t>
  </si>
  <si>
    <t xml:space="preserve">Great Lakes</t>
  </si>
  <si>
    <t xml:space="preserve">Hoffman Estates</t>
  </si>
  <si>
    <t xml:space="preserve">Joliet</t>
  </si>
  <si>
    <t xml:space="preserve">Kankakee</t>
  </si>
  <si>
    <t xml:space="preserve">Macomb</t>
  </si>
  <si>
    <t xml:space="preserve">Marion</t>
  </si>
  <si>
    <t xml:space="preserve">Mattoon</t>
  </si>
  <si>
    <t xml:space="preserve">Moline</t>
  </si>
  <si>
    <t xml:space="preserve">Morrison</t>
  </si>
  <si>
    <t xml:space="preserve">Mount Prospect</t>
  </si>
  <si>
    <t xml:space="preserve">Mount Vernon</t>
  </si>
  <si>
    <t xml:space="preserve">Naperville</t>
  </si>
  <si>
    <t xml:space="preserve">Normal</t>
  </si>
  <si>
    <t xml:space="preserve">Oak Brook</t>
  </si>
  <si>
    <t xml:space="preserve">Oak Park</t>
  </si>
  <si>
    <t xml:space="preserve">Sandwich</t>
  </si>
  <si>
    <t xml:space="preserve">Indianapolis</t>
  </si>
  <si>
    <t xml:space="preserve">Fort Wayne</t>
  </si>
  <si>
    <t xml:space="preserve">Newburgh</t>
  </si>
  <si>
    <t xml:space="preserve">South Bend</t>
  </si>
  <si>
    <t xml:space="preserve">Avon</t>
  </si>
  <si>
    <t xml:space="preserve">Danville</t>
  </si>
  <si>
    <t xml:space="preserve">Winchester</t>
  </si>
  <si>
    <t xml:space="preserve">Evansville</t>
  </si>
  <si>
    <t xml:space="preserve">Mishawaka</t>
  </si>
  <si>
    <t xml:space="preserve">Terre Haute</t>
  </si>
  <si>
    <t xml:space="preserve">Saint John</t>
  </si>
  <si>
    <t xml:space="preserve">Seymour</t>
  </si>
  <si>
    <t xml:space="preserve">Valparaiso</t>
  </si>
  <si>
    <t xml:space="preserve">Anderson</t>
  </si>
  <si>
    <t xml:space="preserve">Crown Point</t>
  </si>
  <si>
    <t xml:space="preserve">Fishers</t>
  </si>
  <si>
    <t xml:space="preserve">Greenfield</t>
  </si>
  <si>
    <t xml:space="preserve">Jeffersonville</t>
  </si>
  <si>
    <t xml:space="preserve">New Albany</t>
  </si>
  <si>
    <t xml:space="preserve">Richmond</t>
  </si>
  <si>
    <t xml:space="preserve">Angola</t>
  </si>
  <si>
    <t xml:space="preserve">Bremen</t>
  </si>
  <si>
    <t xml:space="preserve">East Chicago</t>
  </si>
  <si>
    <t xml:space="preserve">Elkhart</t>
  </si>
  <si>
    <t xml:space="preserve">Goshen</t>
  </si>
  <si>
    <t xml:space="preserve">Huntington</t>
  </si>
  <si>
    <t xml:space="preserve">Lebanon</t>
  </si>
  <si>
    <t xml:space="preserve">Logansport</t>
  </si>
  <si>
    <t xml:space="preserve">Merrillville</t>
  </si>
  <si>
    <t xml:space="preserve">Milford</t>
  </si>
  <si>
    <t xml:space="preserve">Muncie</t>
  </si>
  <si>
    <t xml:space="preserve">New Castle</t>
  </si>
  <si>
    <t xml:space="preserve">Vincennes</t>
  </si>
  <si>
    <t xml:space="preserve">Warsaw</t>
  </si>
  <si>
    <t xml:space="preserve">Wichita</t>
  </si>
  <si>
    <t xml:space="preserve">Leawood</t>
  </si>
  <si>
    <t xml:space="preserve">Manhattan</t>
  </si>
  <si>
    <t xml:space="preserve">Salina</t>
  </si>
  <si>
    <t xml:space="preserve">Shawnee</t>
  </si>
  <si>
    <t xml:space="preserve">Topeka</t>
  </si>
  <si>
    <t xml:space="preserve">Olathe</t>
  </si>
  <si>
    <t xml:space="preserve">Emporia</t>
  </si>
  <si>
    <t xml:space="preserve">Great Bend</t>
  </si>
  <si>
    <t xml:space="preserve">Kansas City</t>
  </si>
  <si>
    <t xml:space="preserve">Lawrence</t>
  </si>
  <si>
    <t xml:space="preserve">Liberal</t>
  </si>
  <si>
    <t xml:space="preserve">Parsons</t>
  </si>
  <si>
    <t xml:space="preserve">Shawnee Mission</t>
  </si>
  <si>
    <t xml:space="preserve">Louisville</t>
  </si>
  <si>
    <t xml:space="preserve">Bowling Green</t>
  </si>
  <si>
    <t xml:space="preserve">Lexington</t>
  </si>
  <si>
    <t xml:space="preserve">Erlanger</t>
  </si>
  <si>
    <t xml:space="preserve">Ashland</t>
  </si>
  <si>
    <t xml:space="preserve">Hopkinsville</t>
  </si>
  <si>
    <t xml:space="preserve">Pikeville</t>
  </si>
  <si>
    <t xml:space="preserve">Georgetown</t>
  </si>
  <si>
    <t xml:space="preserve">Paducah</t>
  </si>
  <si>
    <t xml:space="preserve">Somerset</t>
  </si>
  <si>
    <t xml:space="preserve">Henderson</t>
  </si>
  <si>
    <t xml:space="preserve">London</t>
  </si>
  <si>
    <t xml:space="preserve">Prestonsburg</t>
  </si>
  <si>
    <t xml:space="preserve">Whitesburg</t>
  </si>
  <si>
    <t xml:space="preserve">Campbellsville</t>
  </si>
  <si>
    <t xml:space="preserve">Corbin</t>
  </si>
  <si>
    <t xml:space="preserve">Cynthiana</t>
  </si>
  <si>
    <t xml:space="preserve">Elizabethtown</t>
  </si>
  <si>
    <t xml:space="preserve">Fairdale</t>
  </si>
  <si>
    <t xml:space="preserve">Frankfort</t>
  </si>
  <si>
    <t xml:space="preserve">Mayfield</t>
  </si>
  <si>
    <t xml:space="preserve">Maysville</t>
  </si>
  <si>
    <t xml:space="preserve">Morehead</t>
  </si>
  <si>
    <t xml:space="preserve">Murray</t>
  </si>
  <si>
    <t xml:space="preserve">Owensboro</t>
  </si>
  <si>
    <t xml:space="preserve">Vanceburg</t>
  </si>
  <si>
    <t xml:space="preserve">Baton Rouge</t>
  </si>
  <si>
    <t xml:space="preserve">Shreveport</t>
  </si>
  <si>
    <t xml:space="preserve">Monroe</t>
  </si>
  <si>
    <t xml:space="preserve">Alexandria</t>
  </si>
  <si>
    <t xml:space="preserve">Lake Charles</t>
  </si>
  <si>
    <t xml:space="preserve">New Orleans</t>
  </si>
  <si>
    <t xml:space="preserve">Raceland</t>
  </si>
  <si>
    <t xml:space="preserve">Bossier City</t>
  </si>
  <si>
    <t xml:space="preserve">Houma</t>
  </si>
  <si>
    <t xml:space="preserve">Kenner</t>
  </si>
  <si>
    <t xml:space="preserve">Ruston</t>
  </si>
  <si>
    <t xml:space="preserve">Gretna</t>
  </si>
  <si>
    <t xml:space="preserve">Hammond</t>
  </si>
  <si>
    <t xml:space="preserve">Independence</t>
  </si>
  <si>
    <t xml:space="preserve">Mamou</t>
  </si>
  <si>
    <t xml:space="preserve">Mandeville</t>
  </si>
  <si>
    <t xml:space="preserve">Morgan City</t>
  </si>
  <si>
    <t xml:space="preserve">Sulphur</t>
  </si>
  <si>
    <t xml:space="preserve">Thibodaux</t>
  </si>
  <si>
    <t xml:space="preserve">Zachary</t>
  </si>
  <si>
    <t xml:space="preserve">Boston</t>
  </si>
  <si>
    <t xml:space="preserve">Newton Lower Falls</t>
  </si>
  <si>
    <t xml:space="preserve">Brockton</t>
  </si>
  <si>
    <t xml:space="preserve">Brookline</t>
  </si>
  <si>
    <t xml:space="preserve">Cambridge</t>
  </si>
  <si>
    <t xml:space="preserve">Fairhaven</t>
  </si>
  <si>
    <t xml:space="preserve">Fall River</t>
  </si>
  <si>
    <t xml:space="preserve">Northampton</t>
  </si>
  <si>
    <t xml:space="preserve">Quincy</t>
  </si>
  <si>
    <t xml:space="preserve">Chestnut Hill</t>
  </si>
  <si>
    <t xml:space="preserve">Hyannis</t>
  </si>
  <si>
    <t xml:space="preserve">Methuen</t>
  </si>
  <si>
    <t xml:space="preserve">North Chelmsford</t>
  </si>
  <si>
    <t xml:space="preserve">Pittsfield</t>
  </si>
  <si>
    <t xml:space="preserve">Plainville</t>
  </si>
  <si>
    <t xml:space="preserve">Plymouth</t>
  </si>
  <si>
    <t xml:space="preserve">Revere</t>
  </si>
  <si>
    <t xml:space="preserve">South Boston</t>
  </si>
  <si>
    <t xml:space="preserve">Woburn</t>
  </si>
  <si>
    <t xml:space="preserve">Worcester</t>
  </si>
  <si>
    <t xml:space="preserve">Silver Spring</t>
  </si>
  <si>
    <t xml:space="preserve">Fulton</t>
  </si>
  <si>
    <t xml:space="preserve">Baltimore</t>
  </si>
  <si>
    <t xml:space="preserve">Annapolis</t>
  </si>
  <si>
    <t xml:space="preserve">Glen Burnie</t>
  </si>
  <si>
    <t xml:space="preserve">Cumberland</t>
  </si>
  <si>
    <t xml:space="preserve">Hagerstown</t>
  </si>
  <si>
    <t xml:space="preserve">Lutherville Timonium</t>
  </si>
  <si>
    <t xml:space="preserve">Bel Air</t>
  </si>
  <si>
    <t xml:space="preserve">Bethesda</t>
  </si>
  <si>
    <t xml:space="preserve">Bowie</t>
  </si>
  <si>
    <t xml:space="preserve">Brooklyn</t>
  </si>
  <si>
    <t xml:space="preserve">Easton</t>
  </si>
  <si>
    <t xml:space="preserve">Elkton</t>
  </si>
  <si>
    <t xml:space="preserve">Frederick</t>
  </si>
  <si>
    <t xml:space="preserve">Lanham</t>
  </si>
  <si>
    <t xml:space="preserve">Leonardtown</t>
  </si>
  <si>
    <t xml:space="preserve">Owings Mills</t>
  </si>
  <si>
    <t xml:space="preserve">Salisbury</t>
  </si>
  <si>
    <t xml:space="preserve">Towson</t>
  </si>
  <si>
    <t xml:space="preserve">Scarborough</t>
  </si>
  <si>
    <t xml:space="preserve">South Portland</t>
  </si>
  <si>
    <t xml:space="preserve">Bangor</t>
  </si>
  <si>
    <t xml:space="preserve">Belfast</t>
  </si>
  <si>
    <t xml:space="preserve">Machias</t>
  </si>
  <si>
    <t xml:space="preserve">Royal Oak</t>
  </si>
  <si>
    <t xml:space="preserve">Rochester</t>
  </si>
  <si>
    <t xml:space="preserve">Dearborn</t>
  </si>
  <si>
    <t xml:space="preserve">Grand Rapids</t>
  </si>
  <si>
    <t xml:space="preserve">Ann Arbor</t>
  </si>
  <si>
    <t xml:space="preserve">East Lansing</t>
  </si>
  <si>
    <t xml:space="preserve">Kalamazoo</t>
  </si>
  <si>
    <t xml:space="preserve">Wyoming</t>
  </si>
  <si>
    <t xml:space="preserve">Ypsilanti</t>
  </si>
  <si>
    <t xml:space="preserve">Detroit</t>
  </si>
  <si>
    <t xml:space="preserve">Lansing</t>
  </si>
  <si>
    <t xml:space="preserve">Muskegon</t>
  </si>
  <si>
    <t xml:space="preserve">Saginaw</t>
  </si>
  <si>
    <t xml:space="preserve">Traverse City</t>
  </si>
  <si>
    <t xml:space="preserve">Grand Blanc</t>
  </si>
  <si>
    <t xml:space="preserve">Livonia</t>
  </si>
  <si>
    <t xml:space="preserve">Midland</t>
  </si>
  <si>
    <t xml:space="preserve">Bloomfield Hills</t>
  </si>
  <si>
    <t xml:space="preserve">Holland</t>
  </si>
  <si>
    <t xml:space="preserve">Saint Joseph</t>
  </si>
  <si>
    <t xml:space="preserve">Trenton</t>
  </si>
  <si>
    <t xml:space="preserve">Troy</t>
  </si>
  <si>
    <t xml:space="preserve">Zeeland</t>
  </si>
  <si>
    <t xml:space="preserve">Battle Creek</t>
  </si>
  <si>
    <t xml:space="preserve">Bay City</t>
  </si>
  <si>
    <t xml:space="preserve">Dearborn Heights</t>
  </si>
  <si>
    <t xml:space="preserve">Farmington Hills</t>
  </si>
  <si>
    <t xml:space="preserve">Greenville</t>
  </si>
  <si>
    <t xml:space="preserve">Jackson</t>
  </si>
  <si>
    <t xml:space="preserve">Lake Orion</t>
  </si>
  <si>
    <t xml:space="preserve">Mount Clemens</t>
  </si>
  <si>
    <t xml:space="preserve">Owosso</t>
  </si>
  <si>
    <t xml:space="preserve">Southfield</t>
  </si>
  <si>
    <t xml:space="preserve">Tawas City</t>
  </si>
  <si>
    <t xml:space="preserve">Utica</t>
  </si>
  <si>
    <t xml:space="preserve">Ada</t>
  </si>
  <si>
    <t xml:space="preserve">Alpena</t>
  </si>
  <si>
    <t xml:space="preserve">Bad Axe</t>
  </si>
  <si>
    <t xml:space="preserve">Big Rapids</t>
  </si>
  <si>
    <t xml:space="preserve">Cadillac</t>
  </si>
  <si>
    <t xml:space="preserve">Chelsea</t>
  </si>
  <si>
    <t xml:space="preserve">Clinton Township</t>
  </si>
  <si>
    <t xml:space="preserve">Escanaba</t>
  </si>
  <si>
    <t xml:space="preserve">Farmington</t>
  </si>
  <si>
    <t xml:space="preserve">Flint</t>
  </si>
  <si>
    <t xml:space="preserve">Grayling</t>
  </si>
  <si>
    <t xml:space="preserve">Grosse Pointe</t>
  </si>
  <si>
    <t xml:space="preserve">Harper Woods</t>
  </si>
  <si>
    <t xml:space="preserve">Hastings</t>
  </si>
  <si>
    <t xml:space="preserve">Ishpeming</t>
  </si>
  <si>
    <t xml:space="preserve">Lapeer</t>
  </si>
  <si>
    <t xml:space="preserve">Marquette</t>
  </si>
  <si>
    <t xml:space="preserve">Marshall</t>
  </si>
  <si>
    <t xml:space="preserve">Mount Pleasant</t>
  </si>
  <si>
    <t xml:space="preserve">Novi</t>
  </si>
  <si>
    <t xml:space="preserve">Okemos</t>
  </si>
  <si>
    <t xml:space="preserve">Port Huron</t>
  </si>
  <si>
    <t xml:space="preserve">West Bloomfield</t>
  </si>
  <si>
    <t xml:space="preserve">Minneapolis</t>
  </si>
  <si>
    <t xml:space="preserve">Saint Paul</t>
  </si>
  <si>
    <t xml:space="preserve">Osseo</t>
  </si>
  <si>
    <t xml:space="preserve">Saint Cloud</t>
  </si>
  <si>
    <t xml:space="preserve">Crosby</t>
  </si>
  <si>
    <t xml:space="preserve">Detroit Lakes</t>
  </si>
  <si>
    <t xml:space="preserve">Willmar</t>
  </si>
  <si>
    <t xml:space="preserve">Baxter</t>
  </si>
  <si>
    <t xml:space="preserve">Bemidji</t>
  </si>
  <si>
    <t xml:space="preserve">Champlin</t>
  </si>
  <si>
    <t xml:space="preserve">Crookston</t>
  </si>
  <si>
    <t xml:space="preserve">Duluth</t>
  </si>
  <si>
    <t xml:space="preserve">Eagan</t>
  </si>
  <si>
    <t xml:space="preserve">Hutchinson</t>
  </si>
  <si>
    <t xml:space="preserve">International Falls</t>
  </si>
  <si>
    <t xml:space="preserve">Montevideo</t>
  </si>
  <si>
    <t xml:space="preserve">New Ulm</t>
  </si>
  <si>
    <t xml:space="preserve">Owatonna</t>
  </si>
  <si>
    <t xml:space="preserve">Saint Michael</t>
  </si>
  <si>
    <t xml:space="preserve">Staples</t>
  </si>
  <si>
    <t xml:space="preserve">Thief River Falls</t>
  </si>
  <si>
    <t xml:space="preserve">Virginia</t>
  </si>
  <si>
    <t xml:space="preserve">Saint Louis</t>
  </si>
  <si>
    <t xml:space="preserve">Cape Girardeau</t>
  </si>
  <si>
    <t xml:space="preserve">Chesterfield</t>
  </si>
  <si>
    <t xml:space="preserve">Jefferson City</t>
  </si>
  <si>
    <t xml:space="preserve">Lees Summit</t>
  </si>
  <si>
    <t xml:space="preserve">Columbia</t>
  </si>
  <si>
    <t xml:space="preserve">Fenton</t>
  </si>
  <si>
    <t xml:space="preserve">Hannibal</t>
  </si>
  <si>
    <t xml:space="preserve">Ballwin</t>
  </si>
  <si>
    <t xml:space="preserve">Kirksville</t>
  </si>
  <si>
    <t xml:space="preserve">Lake Saint Louis</t>
  </si>
  <si>
    <t xml:space="preserve">Poplar Bluff</t>
  </si>
  <si>
    <t xml:space="preserve">Bolivar</t>
  </si>
  <si>
    <t xml:space="preserve">Chillicothe</t>
  </si>
  <si>
    <t xml:space="preserve">Cuba</t>
  </si>
  <si>
    <t xml:space="preserve">Joplin</t>
  </si>
  <si>
    <t xml:space="preserve">Neosho</t>
  </si>
  <si>
    <t xml:space="preserve">Saint Peters</t>
  </si>
  <si>
    <t xml:space="preserve">Sainte Genevieve</t>
  </si>
  <si>
    <t xml:space="preserve">Flowood</t>
  </si>
  <si>
    <t xml:space="preserve">Hattiesburg</t>
  </si>
  <si>
    <t xml:space="preserve">Tupelo</t>
  </si>
  <si>
    <t xml:space="preserve">Amory</t>
  </si>
  <si>
    <t xml:space="preserve">Ocean Springs</t>
  </si>
  <si>
    <t xml:space="preserve">Natchez</t>
  </si>
  <si>
    <t xml:space="preserve">Pascagoula</t>
  </si>
  <si>
    <t xml:space="preserve">Gulfport</t>
  </si>
  <si>
    <t xml:space="preserve">Starkville</t>
  </si>
  <si>
    <t xml:space="preserve">Biloxi</t>
  </si>
  <si>
    <t xml:space="preserve">Clarksdale</t>
  </si>
  <si>
    <t xml:space="preserve">Corinth</t>
  </si>
  <si>
    <t xml:space="preserve">Ellisville</t>
  </si>
  <si>
    <t xml:space="preserve">Laurel</t>
  </si>
  <si>
    <t xml:space="preserve">Lucedale</t>
  </si>
  <si>
    <t xml:space="preserve">Ridgeland</t>
  </si>
  <si>
    <t xml:space="preserve">Vicksburg</t>
  </si>
  <si>
    <t xml:space="preserve">Missoula</t>
  </si>
  <si>
    <t xml:space="preserve">Billings</t>
  </si>
  <si>
    <t xml:space="preserve">Kalispell</t>
  </si>
  <si>
    <t xml:space="preserve">Sidney</t>
  </si>
  <si>
    <t xml:space="preserve">Whitefish</t>
  </si>
  <si>
    <t xml:space="preserve">Charlotte</t>
  </si>
  <si>
    <t xml:space="preserve">Morrisville</t>
  </si>
  <si>
    <t xml:space="preserve">Durham</t>
  </si>
  <si>
    <t xml:space="preserve">Concord</t>
  </si>
  <si>
    <t xml:space="preserve">Raleigh</t>
  </si>
  <si>
    <t xml:space="preserve">Winston Salem</t>
  </si>
  <si>
    <t xml:space="preserve">Huntersville</t>
  </si>
  <si>
    <t xml:space="preserve">Wilmington</t>
  </si>
  <si>
    <t xml:space="preserve">Asheville</t>
  </si>
  <si>
    <t xml:space="preserve">Pinehurst</t>
  </si>
  <si>
    <t xml:space="preserve">Hickory</t>
  </si>
  <si>
    <t xml:space="preserve">Hendersonville</t>
  </si>
  <si>
    <t xml:space="preserve">Mooresville</t>
  </si>
  <si>
    <t xml:space="preserve">Morehead City</t>
  </si>
  <si>
    <t xml:space="preserve">Shelby</t>
  </si>
  <si>
    <t xml:space="preserve">Smithfield</t>
  </si>
  <si>
    <t xml:space="preserve">Asheboro</t>
  </si>
  <si>
    <t xml:space="preserve">Gastonia</t>
  </si>
  <si>
    <t xml:space="preserve">Harrisburg</t>
  </si>
  <si>
    <t xml:space="preserve">High Point</t>
  </si>
  <si>
    <t xml:space="preserve">Ahoskie</t>
  </si>
  <si>
    <t xml:space="preserve">Bolivia</t>
  </si>
  <si>
    <t xml:space="preserve">Cary</t>
  </si>
  <si>
    <t xml:space="preserve">Chapel Hill</t>
  </si>
  <si>
    <t xml:space="preserve">Connelly Springs</t>
  </si>
  <si>
    <t xml:space="preserve">Elizabeth City</t>
  </si>
  <si>
    <t xml:space="preserve">Elkin</t>
  </si>
  <si>
    <t xml:space="preserve">Garner</t>
  </si>
  <si>
    <t xml:space="preserve">Lumberton</t>
  </si>
  <si>
    <t xml:space="preserve">Matthews</t>
  </si>
  <si>
    <t xml:space="preserve">Whiteville</t>
  </si>
  <si>
    <t xml:space="preserve">Wilson</t>
  </si>
  <si>
    <t xml:space="preserve">Fargo</t>
  </si>
  <si>
    <t xml:space="preserve">Grand Forks</t>
  </si>
  <si>
    <t xml:space="preserve">Minot</t>
  </si>
  <si>
    <t xml:space="preserve">Bismarck</t>
  </si>
  <si>
    <t xml:space="preserve">Dickinson</t>
  </si>
  <si>
    <t xml:space="preserve">Watford City</t>
  </si>
  <si>
    <t xml:space="preserve">West Fargo</t>
  </si>
  <si>
    <t xml:space="preserve">Omaha</t>
  </si>
  <si>
    <t xml:space="preserve">Lincoln</t>
  </si>
  <si>
    <t xml:space="preserve">Kearney</t>
  </si>
  <si>
    <t xml:space="preserve">Norfolk</t>
  </si>
  <si>
    <t xml:space="preserve">Beatrice</t>
  </si>
  <si>
    <t xml:space="preserve">Scottsbluff</t>
  </si>
  <si>
    <t xml:space="preserve">North Platte</t>
  </si>
  <si>
    <t xml:space="preserve">Bedford</t>
  </si>
  <si>
    <t xml:space="preserve">Portsmouth</t>
  </si>
  <si>
    <t xml:space="preserve">Voorhees</t>
  </si>
  <si>
    <t xml:space="preserve">Florham Park</t>
  </si>
  <si>
    <t xml:space="preserve">Hackensack</t>
  </si>
  <si>
    <t xml:space="preserve">Jersey City</t>
  </si>
  <si>
    <t xml:space="preserve">Clifton</t>
  </si>
  <si>
    <t xml:space="preserve">Elizabeth</t>
  </si>
  <si>
    <t xml:space="preserve">Paterson</t>
  </si>
  <si>
    <t xml:space="preserve">Camden</t>
  </si>
  <si>
    <t xml:space="preserve">Edison</t>
  </si>
  <si>
    <t xml:space="preserve">Morristown</t>
  </si>
  <si>
    <t xml:space="preserve">New Brunswick</t>
  </si>
  <si>
    <t xml:space="preserve">Basking Ridge</t>
  </si>
  <si>
    <t xml:space="preserve">Berkeley Heights</t>
  </si>
  <si>
    <t xml:space="preserve">Burlington</t>
  </si>
  <si>
    <t xml:space="preserve">Delran</t>
  </si>
  <si>
    <t xml:space="preserve">Egg Harbor Township</t>
  </si>
  <si>
    <t xml:space="preserve">Glassboro</t>
  </si>
  <si>
    <t xml:space="preserve">Hoboken</t>
  </si>
  <si>
    <t xml:space="preserve">Holmdel</t>
  </si>
  <si>
    <t xml:space="preserve">Lakewood</t>
  </si>
  <si>
    <t xml:space="preserve">Little Silver</t>
  </si>
  <si>
    <t xml:space="preserve">Newark</t>
  </si>
  <si>
    <t xml:space="preserve">Paramus</t>
  </si>
  <si>
    <t xml:space="preserve">Passaic</t>
  </si>
  <si>
    <t xml:space="preserve">Piscataway</t>
  </si>
  <si>
    <t xml:space="preserve">Red Bank</t>
  </si>
  <si>
    <t xml:space="preserve">Saddle Brook</t>
  </si>
  <si>
    <t xml:space="preserve">Union</t>
  </si>
  <si>
    <t xml:space="preserve">Wayne</t>
  </si>
  <si>
    <t xml:space="preserve">Westwood</t>
  </si>
  <si>
    <t xml:space="preserve">Albuquerque</t>
  </si>
  <si>
    <t xml:space="preserve">Alamogordo</t>
  </si>
  <si>
    <t xml:space="preserve">Las Cruces</t>
  </si>
  <si>
    <t xml:space="preserve">Silver City</t>
  </si>
  <si>
    <t xml:space="preserve">Las Vegas</t>
  </si>
  <si>
    <t xml:space="preserve">Reno</t>
  </si>
  <si>
    <t xml:space="preserve">North Las Vegas</t>
  </si>
  <si>
    <t xml:space="preserve">Carson City</t>
  </si>
  <si>
    <t xml:space="preserve">Elko</t>
  </si>
  <si>
    <t xml:space="preserve">New York</t>
  </si>
  <si>
    <t xml:space="preserve">Bronx</t>
  </si>
  <si>
    <t xml:space="preserve">Great Neck</t>
  </si>
  <si>
    <t xml:space="preserve">Buffalo</t>
  </si>
  <si>
    <t xml:space="preserve">Flushing</t>
  </si>
  <si>
    <t xml:space="preserve">Middletown</t>
  </si>
  <si>
    <t xml:space="preserve">White Plains</t>
  </si>
  <si>
    <t xml:space="preserve">Woodbury</t>
  </si>
  <si>
    <t xml:space="preserve">Binghamton</t>
  </si>
  <si>
    <t xml:space="preserve">Rego Park</t>
  </si>
  <si>
    <t xml:space="preserve">Richmond Hill</t>
  </si>
  <si>
    <t xml:space="preserve">Saratoga Springs</t>
  </si>
  <si>
    <t xml:space="preserve">Staten Island</t>
  </si>
  <si>
    <t xml:space="preserve">Yonkers</t>
  </si>
  <si>
    <t xml:space="preserve">Canandaigua</t>
  </si>
  <si>
    <t xml:space="preserve">Dunkirk</t>
  </si>
  <si>
    <t xml:space="preserve">East Meadow</t>
  </si>
  <si>
    <t xml:space="preserve">Forest Hills</t>
  </si>
  <si>
    <t xml:space="preserve">Glens Falls</t>
  </si>
  <si>
    <t xml:space="preserve">Hewlett</t>
  </si>
  <si>
    <t xml:space="preserve">Islandia</t>
  </si>
  <si>
    <t xml:space="preserve">Johnson City</t>
  </si>
  <si>
    <t xml:space="preserve">Syracuse</t>
  </si>
  <si>
    <t xml:space="preserve">Watertown</t>
  </si>
  <si>
    <t xml:space="preserve">West Seneca</t>
  </si>
  <si>
    <t xml:space="preserve">Westbury</t>
  </si>
  <si>
    <t xml:space="preserve">Yorktown Heights</t>
  </si>
  <si>
    <t xml:space="preserve">Astoria</t>
  </si>
  <si>
    <t xml:space="preserve">Bethpage</t>
  </si>
  <si>
    <t xml:space="preserve">Brentwood</t>
  </si>
  <si>
    <t xml:space="preserve">Cambria Heights</t>
  </si>
  <si>
    <t xml:space="preserve">Elmira</t>
  </si>
  <si>
    <t xml:space="preserve">Fresh Meadows</t>
  </si>
  <si>
    <t xml:space="preserve">Hicksville</t>
  </si>
  <si>
    <t xml:space="preserve">Huntington Station</t>
  </si>
  <si>
    <t xml:space="preserve">Islip</t>
  </si>
  <si>
    <t xml:space="preserve">Ithaca</t>
  </si>
  <si>
    <t xml:space="preserve">Jackson Heights</t>
  </si>
  <si>
    <t xml:space="preserve">Jamaica</t>
  </si>
  <si>
    <t xml:space="preserve">Lowville</t>
  </si>
  <si>
    <t xml:space="preserve">New Hartford</t>
  </si>
  <si>
    <t xml:space="preserve">Newfane</t>
  </si>
  <si>
    <t xml:space="preserve">Oneida</t>
  </si>
  <si>
    <t xml:space="preserve">Oswego</t>
  </si>
  <si>
    <t xml:space="preserve">Penfield</t>
  </si>
  <si>
    <t xml:space="preserve">Port Chester</t>
  </si>
  <si>
    <t xml:space="preserve">Port Jefferson</t>
  </si>
  <si>
    <t xml:space="preserve">Port Jefferson Station</t>
  </si>
  <si>
    <t xml:space="preserve">Poughkeepsie</t>
  </si>
  <si>
    <t xml:space="preserve">Roslyn</t>
  </si>
  <si>
    <t xml:space="preserve">Rye Brook</t>
  </si>
  <si>
    <t xml:space="preserve">Sodus</t>
  </si>
  <si>
    <t xml:space="preserve">Stony Brook</t>
  </si>
  <si>
    <t xml:space="preserve">Valhalla</t>
  </si>
  <si>
    <t xml:space="preserve">Valley Stream</t>
  </si>
  <si>
    <t xml:space="preserve">West Islip</t>
  </si>
  <si>
    <t xml:space="preserve">Cincinnati</t>
  </si>
  <si>
    <t xml:space="preserve">Toledo</t>
  </si>
  <si>
    <t xml:space="preserve">Cleveland</t>
  </si>
  <si>
    <t xml:space="preserve">Moraine</t>
  </si>
  <si>
    <t xml:space="preserve">Miamisburg</t>
  </si>
  <si>
    <t xml:space="preserve">Westerville</t>
  </si>
  <si>
    <t xml:space="preserve">Gallipolis</t>
  </si>
  <si>
    <t xml:space="preserve">Lima</t>
  </si>
  <si>
    <t xml:space="preserve">Sandusky</t>
  </si>
  <si>
    <t xml:space="preserve">Youngstown</t>
  </si>
  <si>
    <t xml:space="preserve">Zanesville</t>
  </si>
  <si>
    <t xml:space="preserve">Akron</t>
  </si>
  <si>
    <t xml:space="preserve">Bellefontaine</t>
  </si>
  <si>
    <t xml:space="preserve">Dayton</t>
  </si>
  <si>
    <t xml:space="preserve">Mansfield</t>
  </si>
  <si>
    <t xml:space="preserve">Wooster</t>
  </si>
  <si>
    <t xml:space="preserve">Barberton</t>
  </si>
  <si>
    <t xml:space="preserve">Circleville</t>
  </si>
  <si>
    <t xml:space="preserve">Coldwater</t>
  </si>
  <si>
    <t xml:space="preserve">Findlay</t>
  </si>
  <si>
    <t xml:space="preserve">Franklin</t>
  </si>
  <si>
    <t xml:space="preserve">Hilliard</t>
  </si>
  <si>
    <t xml:space="preserve">Lorain</t>
  </si>
  <si>
    <t xml:space="preserve">Mentor</t>
  </si>
  <si>
    <t xml:space="preserve">Shaker Heights</t>
  </si>
  <si>
    <t xml:space="preserve">Tallmadge</t>
  </si>
  <si>
    <t xml:space="preserve">Ashtabula</t>
  </si>
  <si>
    <t xml:space="preserve">Bellevue</t>
  </si>
  <si>
    <t xml:space="preserve">Bryan</t>
  </si>
  <si>
    <t xml:space="preserve">Chagrin Falls</t>
  </si>
  <si>
    <t xml:space="preserve">Galion</t>
  </si>
  <si>
    <t xml:space="preserve">Geneva</t>
  </si>
  <si>
    <t xml:space="preserve">Napoleon</t>
  </si>
  <si>
    <t xml:space="preserve">Orrville</t>
  </si>
  <si>
    <t xml:space="preserve">Painesville</t>
  </si>
  <si>
    <t xml:space="preserve">Saint Marys</t>
  </si>
  <si>
    <t xml:space="preserve">Steubenville</t>
  </si>
  <si>
    <t xml:space="preserve">Upper Sandusky</t>
  </si>
  <si>
    <t xml:space="preserve">Wadsworth</t>
  </si>
  <si>
    <t xml:space="preserve">Warren</t>
  </si>
  <si>
    <t xml:space="preserve">West Chester</t>
  </si>
  <si>
    <t xml:space="preserve">Oklahoma City</t>
  </si>
  <si>
    <t xml:space="preserve">Tulsa</t>
  </si>
  <si>
    <t xml:space="preserve">Norman</t>
  </si>
  <si>
    <t xml:space="preserve">Stillwater</t>
  </si>
  <si>
    <t xml:space="preserve">Durant</t>
  </si>
  <si>
    <t xml:space="preserve">Enid</t>
  </si>
  <si>
    <t xml:space="preserve">Ardmore</t>
  </si>
  <si>
    <t xml:space="preserve">Bartlesville</t>
  </si>
  <si>
    <t xml:space="preserve">Claremore</t>
  </si>
  <si>
    <t xml:space="preserve">Duncan</t>
  </si>
  <si>
    <t xml:space="preserve">Owasso</t>
  </si>
  <si>
    <t xml:space="preserve">Ponca City</t>
  </si>
  <si>
    <t xml:space="preserve">Woodward</t>
  </si>
  <si>
    <t xml:space="preserve">Yukon</t>
  </si>
  <si>
    <t xml:space="preserve">Portland</t>
  </si>
  <si>
    <t xml:space="preserve">Grants Pass</t>
  </si>
  <si>
    <t xml:space="preserve">Salem</t>
  </si>
  <si>
    <t xml:space="preserve">Bend</t>
  </si>
  <si>
    <t xml:space="preserve">Silverton</t>
  </si>
  <si>
    <t xml:space="preserve">Corvallis</t>
  </si>
  <si>
    <t xml:space="preserve">La Grande</t>
  </si>
  <si>
    <t xml:space="preserve">Hermiston</t>
  </si>
  <si>
    <t xml:space="preserve">Hillsboro</t>
  </si>
  <si>
    <t xml:space="preserve">Medford</t>
  </si>
  <si>
    <t xml:space="preserve">Newport</t>
  </si>
  <si>
    <t xml:space="preserve">Oregon City</t>
  </si>
  <si>
    <t xml:space="preserve">Pendleton</t>
  </si>
  <si>
    <t xml:space="preserve">Pittsburgh</t>
  </si>
  <si>
    <t xml:space="preserve">Philadelphia</t>
  </si>
  <si>
    <t xml:space="preserve">Erie</t>
  </si>
  <si>
    <t xml:space="preserve">Monroeville</t>
  </si>
  <si>
    <t xml:space="preserve">Phoenixville</t>
  </si>
  <si>
    <t xml:space="preserve">Reading</t>
  </si>
  <si>
    <t xml:space="preserve">Chambersburg</t>
  </si>
  <si>
    <t xml:space="preserve">Clairton</t>
  </si>
  <si>
    <t xml:space="preserve">Gibsonia</t>
  </si>
  <si>
    <t xml:space="preserve">Williamsport</t>
  </si>
  <si>
    <t xml:space="preserve">York</t>
  </si>
  <si>
    <t xml:space="preserve">Du Bois</t>
  </si>
  <si>
    <t xml:space="preserve">Johnstown</t>
  </si>
  <si>
    <t xml:space="preserve">Latrobe</t>
  </si>
  <si>
    <t xml:space="preserve">Lititz</t>
  </si>
  <si>
    <t xml:space="preserve">Sayre</t>
  </si>
  <si>
    <t xml:space="preserve">Scranton</t>
  </si>
  <si>
    <t xml:space="preserve">Sewickley</t>
  </si>
  <si>
    <t xml:space="preserve">Windber</t>
  </si>
  <si>
    <t xml:space="preserve">Altoona</t>
  </si>
  <si>
    <t xml:space="preserve">Bethlehem</t>
  </si>
  <si>
    <t xml:space="preserve">Burgettstown</t>
  </si>
  <si>
    <t xml:space="preserve">Canonsburg</t>
  </si>
  <si>
    <t xml:space="preserve">Carlisle</t>
  </si>
  <si>
    <t xml:space="preserve">East Stroudsburg</t>
  </si>
  <si>
    <t xml:space="preserve">Ephrata</t>
  </si>
  <si>
    <t xml:space="preserve">Everett</t>
  </si>
  <si>
    <t xml:space="preserve">Honesdale</t>
  </si>
  <si>
    <t xml:space="preserve">Huntingdon Valley</t>
  </si>
  <si>
    <t xml:space="preserve">Kittanning</t>
  </si>
  <si>
    <t xml:space="preserve">Lemoyne</t>
  </si>
  <si>
    <t xml:space="preserve">Mars</t>
  </si>
  <si>
    <t xml:space="preserve">Meadville</t>
  </si>
  <si>
    <t xml:space="preserve">Norristown</t>
  </si>
  <si>
    <t xml:space="preserve">Paoli</t>
  </si>
  <si>
    <t xml:space="preserve">Pottsville</t>
  </si>
  <si>
    <t xml:space="preserve">State College</t>
  </si>
  <si>
    <t xml:space="preserve">Wynnewood</t>
  </si>
  <si>
    <t xml:space="preserve">Providence</t>
  </si>
  <si>
    <t xml:space="preserve">Pawtucket</t>
  </si>
  <si>
    <t xml:space="preserve">Warwick</t>
  </si>
  <si>
    <t xml:space="preserve">Kingston</t>
  </si>
  <si>
    <t xml:space="preserve">Woonsocket</t>
  </si>
  <si>
    <t xml:space="preserve">Spartanburg</t>
  </si>
  <si>
    <t xml:space="preserve">Charleston</t>
  </si>
  <si>
    <t xml:space="preserve">Summerville</t>
  </si>
  <si>
    <t xml:space="preserve">West Columbia</t>
  </si>
  <si>
    <t xml:space="preserve">Bluffton</t>
  </si>
  <si>
    <t xml:space="preserve">Greer</t>
  </si>
  <si>
    <t xml:space="preserve">Fort Mill</t>
  </si>
  <si>
    <t xml:space="preserve">Hartsville</t>
  </si>
  <si>
    <t xml:space="preserve">Rock Hill</t>
  </si>
  <si>
    <t xml:space="preserve">Bamberg</t>
  </si>
  <si>
    <t xml:space="preserve">Greenwood</t>
  </si>
  <si>
    <t xml:space="preserve">Little River</t>
  </si>
  <si>
    <t xml:space="preserve">Myrtle Beach</t>
  </si>
  <si>
    <t xml:space="preserve">Manning</t>
  </si>
  <si>
    <t xml:space="preserve">Murrells Inlet</t>
  </si>
  <si>
    <t xml:space="preserve">Seneca</t>
  </si>
  <si>
    <t xml:space="preserve">Sumter</t>
  </si>
  <si>
    <t xml:space="preserve">Sioux Falls</t>
  </si>
  <si>
    <t xml:space="preserve">Aberdeen</t>
  </si>
  <si>
    <t xml:space="preserve">Yankton</t>
  </si>
  <si>
    <t xml:space="preserve">Rapid City</t>
  </si>
  <si>
    <t xml:space="preserve">Mitchell</t>
  </si>
  <si>
    <t xml:space="preserve">Brookings</t>
  </si>
  <si>
    <t xml:space="preserve">Memphis</t>
  </si>
  <si>
    <t xml:space="preserve">Knoxville</t>
  </si>
  <si>
    <t xml:space="preserve">Nashville</t>
  </si>
  <si>
    <t xml:space="preserve">Chattanooga</t>
  </si>
  <si>
    <t xml:space="preserve">Goodlettsville</t>
  </si>
  <si>
    <t xml:space="preserve">Hixson</t>
  </si>
  <si>
    <t xml:space="preserve">Kingsport</t>
  </si>
  <si>
    <t xml:space="preserve">Smyrna</t>
  </si>
  <si>
    <t xml:space="preserve">Cookeville</t>
  </si>
  <si>
    <t xml:space="preserve">Greeneville</t>
  </si>
  <si>
    <t xml:space="preserve">Murfreesboro</t>
  </si>
  <si>
    <t xml:space="preserve">Ooltewah</t>
  </si>
  <si>
    <t xml:space="preserve">Clarksville</t>
  </si>
  <si>
    <t xml:space="preserve">Dickson</t>
  </si>
  <si>
    <t xml:space="preserve">Dyersburg</t>
  </si>
  <si>
    <t xml:space="preserve">Gallatin</t>
  </si>
  <si>
    <t xml:space="preserve">Germantown</t>
  </si>
  <si>
    <t xml:space="preserve">Hermitage</t>
  </si>
  <si>
    <t xml:space="preserve">Oak Ridge</t>
  </si>
  <si>
    <t xml:space="preserve">South Pittsburg</t>
  </si>
  <si>
    <t xml:space="preserve">Houston</t>
  </si>
  <si>
    <t xml:space="preserve">Dallas</t>
  </si>
  <si>
    <t xml:space="preserve">Austin</t>
  </si>
  <si>
    <t xml:space="preserve">San Antonio</t>
  </si>
  <si>
    <t xml:space="preserve">Addison</t>
  </si>
  <si>
    <t xml:space="preserve">Plano</t>
  </si>
  <si>
    <t xml:space="preserve">Tyler</t>
  </si>
  <si>
    <t xml:space="preserve">Fort Worth</t>
  </si>
  <si>
    <t xml:space="preserve">Mcallen</t>
  </si>
  <si>
    <t xml:space="preserve">Lubbock</t>
  </si>
  <si>
    <t xml:space="preserve">Edinburg</t>
  </si>
  <si>
    <t xml:space="preserve">Katy</t>
  </si>
  <si>
    <t xml:space="preserve">Webster</t>
  </si>
  <si>
    <t xml:space="preserve">Amarillo</t>
  </si>
  <si>
    <t xml:space="preserve">Conroe</t>
  </si>
  <si>
    <t xml:space="preserve">Corpus Christi</t>
  </si>
  <si>
    <t xml:space="preserve">Laredo</t>
  </si>
  <si>
    <t xml:space="preserve">Odessa</t>
  </si>
  <si>
    <t xml:space="preserve">Sugar Land</t>
  </si>
  <si>
    <t xml:space="preserve">Victoria</t>
  </si>
  <si>
    <t xml:space="preserve">Beaumont</t>
  </si>
  <si>
    <t xml:space="preserve">Willow Park</t>
  </si>
  <si>
    <t xml:space="preserve">Brownsville</t>
  </si>
  <si>
    <t xml:space="preserve">College Station</t>
  </si>
  <si>
    <t xml:space="preserve">Kerrville</t>
  </si>
  <si>
    <t xml:space="preserve">San Angelo</t>
  </si>
  <si>
    <t xml:space="preserve">Wichita Falls</t>
  </si>
  <si>
    <t xml:space="preserve">Burleson</t>
  </si>
  <si>
    <t xml:space="preserve">El Paso</t>
  </si>
  <si>
    <t xml:space="preserve">Irving</t>
  </si>
  <si>
    <t xml:space="preserve">Longview</t>
  </si>
  <si>
    <t xml:space="preserve">Lufkin</t>
  </si>
  <si>
    <t xml:space="preserve">Nacogdoches</t>
  </si>
  <si>
    <t xml:space="preserve">Richardson</t>
  </si>
  <si>
    <t xml:space="preserve">Temple</t>
  </si>
  <si>
    <t xml:space="preserve">Texarkana</t>
  </si>
  <si>
    <t xml:space="preserve">Abilene</t>
  </si>
  <si>
    <t xml:space="preserve">Colleyville</t>
  </si>
  <si>
    <t xml:space="preserve">Dumas</t>
  </si>
  <si>
    <t xml:space="preserve">Mckinney</t>
  </si>
  <si>
    <t xml:space="preserve">Mesquite</t>
  </si>
  <si>
    <t xml:space="preserve">Paris</t>
  </si>
  <si>
    <t xml:space="preserve">Plainview</t>
  </si>
  <si>
    <t xml:space="preserve">Rockwall</t>
  </si>
  <si>
    <t xml:space="preserve">Seminole</t>
  </si>
  <si>
    <t xml:space="preserve">Woodway</t>
  </si>
  <si>
    <t xml:space="preserve">Allen</t>
  </si>
  <si>
    <t xml:space="preserve">Arlington</t>
  </si>
  <si>
    <t xml:space="preserve">Bastrop</t>
  </si>
  <si>
    <t xml:space="preserve">Brownwood</t>
  </si>
  <si>
    <t xml:space="preserve">Cedar Park</t>
  </si>
  <si>
    <t xml:space="preserve">Cleburne</t>
  </si>
  <si>
    <t xml:space="preserve">Cross Roads</t>
  </si>
  <si>
    <t xml:space="preserve">Denton</t>
  </si>
  <si>
    <t xml:space="preserve">Desoto</t>
  </si>
  <si>
    <t xml:space="preserve">Euless</t>
  </si>
  <si>
    <t xml:space="preserve">Flower Mound</t>
  </si>
  <si>
    <t xml:space="preserve">Friendswood</t>
  </si>
  <si>
    <t xml:space="preserve">Galveston</t>
  </si>
  <si>
    <t xml:space="preserve">Granbury</t>
  </si>
  <si>
    <t xml:space="preserve">Grapevine</t>
  </si>
  <si>
    <t xml:space="preserve">Harlingen</t>
  </si>
  <si>
    <t xml:space="preserve">Kyle</t>
  </si>
  <si>
    <t xml:space="preserve">Mission</t>
  </si>
  <si>
    <t xml:space="preserve">New Braunfels</t>
  </si>
  <si>
    <t xml:space="preserve">Palestine</t>
  </si>
  <si>
    <t xml:space="preserve">Rowlett</t>
  </si>
  <si>
    <t xml:space="preserve">Spring</t>
  </si>
  <si>
    <t xml:space="preserve">Sweetwater</t>
  </si>
  <si>
    <t xml:space="preserve">Waxahachie</t>
  </si>
  <si>
    <t xml:space="preserve">Wharton</t>
  </si>
  <si>
    <t xml:space="preserve">Salt Lake City</t>
  </si>
  <si>
    <t xml:space="preserve">Ogden</t>
  </si>
  <si>
    <t xml:space="preserve">Logan</t>
  </si>
  <si>
    <t xml:space="preserve">West Valley City</t>
  </si>
  <si>
    <t xml:space="preserve">Layton</t>
  </si>
  <si>
    <t xml:space="preserve">Provo</t>
  </si>
  <si>
    <t xml:space="preserve">Saint George</t>
  </si>
  <si>
    <t xml:space="preserve">Riverton</t>
  </si>
  <si>
    <t xml:space="preserve">Bountiful</t>
  </si>
  <si>
    <t xml:space="preserve">Cedar City</t>
  </si>
  <si>
    <t xml:space="preserve">West Jordan</t>
  </si>
  <si>
    <t xml:space="preserve">North Logan</t>
  </si>
  <si>
    <t xml:space="preserve">Roosevelt</t>
  </si>
  <si>
    <t xml:space="preserve">American Fork</t>
  </si>
  <si>
    <t xml:space="preserve">Brigham City</t>
  </si>
  <si>
    <t xml:space="preserve">Heber City</t>
  </si>
  <si>
    <t xml:space="preserve">Nephi</t>
  </si>
  <si>
    <t xml:space="preserve">Orem</t>
  </si>
  <si>
    <t xml:space="preserve">Sandy</t>
  </si>
  <si>
    <t xml:space="preserve">Tooele</t>
  </si>
  <si>
    <t xml:space="preserve">Virginia Beach</t>
  </si>
  <si>
    <t xml:space="preserve">Falls Church</t>
  </si>
  <si>
    <t xml:space="preserve">Fishersville</t>
  </si>
  <si>
    <t xml:space="preserve">North Chesterfield</t>
  </si>
  <si>
    <t xml:space="preserve">Charlottesville</t>
  </si>
  <si>
    <t xml:space="preserve">Fredericksburg</t>
  </si>
  <si>
    <t xml:space="preserve">Harrisonburg</t>
  </si>
  <si>
    <t xml:space="preserve">Henrico</t>
  </si>
  <si>
    <t xml:space="preserve">Mechanicsville</t>
  </si>
  <si>
    <t xml:space="preserve">Woodbridge</t>
  </si>
  <si>
    <t xml:space="preserve">Fairfax</t>
  </si>
  <si>
    <t xml:space="preserve">Midlothian</t>
  </si>
  <si>
    <t xml:space="preserve">Roanoke</t>
  </si>
  <si>
    <t xml:space="preserve">Warrenton</t>
  </si>
  <si>
    <t xml:space="preserve">Williamsburg</t>
  </si>
  <si>
    <t xml:space="preserve">Wytheville</t>
  </si>
  <si>
    <t xml:space="preserve">Annandale</t>
  </si>
  <si>
    <t xml:space="preserve">Blacksburg</t>
  </si>
  <si>
    <t xml:space="preserve">Centreville</t>
  </si>
  <si>
    <t xml:space="preserve">Chantilly</t>
  </si>
  <si>
    <t xml:space="preserve">Galax</t>
  </si>
  <si>
    <t xml:space="preserve">Hampton</t>
  </si>
  <si>
    <t xml:space="preserve">Lynchburg</t>
  </si>
  <si>
    <t xml:space="preserve">Onancock</t>
  </si>
  <si>
    <t xml:space="preserve">Sterling</t>
  </si>
  <si>
    <t xml:space="preserve">Vienna</t>
  </si>
  <si>
    <t xml:space="preserve">Bennington</t>
  </si>
  <si>
    <t xml:space="preserve">Brattleboro</t>
  </si>
  <si>
    <t xml:space="preserve">Saint Albans</t>
  </si>
  <si>
    <t xml:space="preserve">Tacoma</t>
  </si>
  <si>
    <t xml:space="preserve">Spokane</t>
  </si>
  <si>
    <t xml:space="preserve">Vancouver</t>
  </si>
  <si>
    <t xml:space="preserve">Kirkland</t>
  </si>
  <si>
    <t xml:space="preserve">Wenatchee</t>
  </si>
  <si>
    <t xml:space="preserve">Richland</t>
  </si>
  <si>
    <t xml:space="preserve">Seattle</t>
  </si>
  <si>
    <t xml:space="preserve">Walla Walla</t>
  </si>
  <si>
    <t xml:space="preserve">Edmonds</t>
  </si>
  <si>
    <t xml:space="preserve">Moses Lake</t>
  </si>
  <si>
    <t xml:space="preserve">Olympia</t>
  </si>
  <si>
    <t xml:space="preserve">Prosser</t>
  </si>
  <si>
    <t xml:space="preserve">Pullman</t>
  </si>
  <si>
    <t xml:space="preserve">Renton</t>
  </si>
  <si>
    <t xml:space="preserve">Silverdale</t>
  </si>
  <si>
    <t xml:space="preserve">Anacortes</t>
  </si>
  <si>
    <t xml:space="preserve">Centralia</t>
  </si>
  <si>
    <t xml:space="preserve">Federal Way</t>
  </si>
  <si>
    <t xml:space="preserve">Grandview</t>
  </si>
  <si>
    <t xml:space="preserve">Pasco</t>
  </si>
  <si>
    <t xml:space="preserve">Shelton</t>
  </si>
  <si>
    <t xml:space="preserve">Spokane Valley</t>
  </si>
  <si>
    <t xml:space="preserve">Yakima</t>
  </si>
  <si>
    <t xml:space="preserve">Appleton</t>
  </si>
  <si>
    <t xml:space="preserve">Milwaukee</t>
  </si>
  <si>
    <t xml:space="preserve">Green Bay</t>
  </si>
  <si>
    <t xml:space="preserve">Waukesha</t>
  </si>
  <si>
    <t xml:space="preserve">Eau Claire</t>
  </si>
  <si>
    <t xml:space="preserve">Neenah</t>
  </si>
  <si>
    <t xml:space="preserve">Sheboygan</t>
  </si>
  <si>
    <t xml:space="preserve">Fond Du Lac</t>
  </si>
  <si>
    <t xml:space="preserve">Hudson</t>
  </si>
  <si>
    <t xml:space="preserve">La Crosse</t>
  </si>
  <si>
    <t xml:space="preserve">Marinette</t>
  </si>
  <si>
    <t xml:space="preserve">Marshfield</t>
  </si>
  <si>
    <t xml:space="preserve">De Pere</t>
  </si>
  <si>
    <t xml:space="preserve">Dodgeville</t>
  </si>
  <si>
    <t xml:space="preserve">Kenosha</t>
  </si>
  <si>
    <t xml:space="preserve">Middleton</t>
  </si>
  <si>
    <t xml:space="preserve">Sauk City</t>
  </si>
  <si>
    <t xml:space="preserve">Schofield</t>
  </si>
  <si>
    <t xml:space="preserve">Wausau</t>
  </si>
  <si>
    <t xml:space="preserve">Wisconsin Rapids</t>
  </si>
  <si>
    <t xml:space="preserve">Baldwin</t>
  </si>
  <si>
    <t xml:space="preserve">Beloit</t>
  </si>
  <si>
    <t xml:space="preserve">Janesville</t>
  </si>
  <si>
    <t xml:space="preserve">Menomonee Falls</t>
  </si>
  <si>
    <t xml:space="preserve">Rhinelander</t>
  </si>
  <si>
    <t xml:space="preserve">West Bend</t>
  </si>
  <si>
    <t xml:space="preserve">Morgantown</t>
  </si>
  <si>
    <t xml:space="preserve">Princeton</t>
  </si>
  <si>
    <t xml:space="preserve">Beckley</t>
  </si>
  <si>
    <t xml:space="preserve">Fort Gay</t>
  </si>
  <si>
    <t xml:space="preserve">Glen Dale</t>
  </si>
  <si>
    <t xml:space="preserve">Parkersburg</t>
  </si>
  <si>
    <t xml:space="preserve">Petersburg</t>
  </si>
  <si>
    <t xml:space="preserve">South Charleston</t>
  </si>
  <si>
    <t xml:space="preserve">Wheeling</t>
  </si>
  <si>
    <t xml:space="preserve">Cheyenne</t>
  </si>
  <si>
    <t xml:space="preserve">Casper</t>
  </si>
  <si>
    <t xml:space="preserve">Laramie</t>
  </si>
  <si>
    <t xml:space="preserve">v4 REFERENCE — numbers BEFORE MSO removal: Waterfall A rev1 canonical, exactly as used in v4. Retained for reference only; every live tab in this v7 workbook uses the ex-MSO numbers (see MSO Reclassification tab for the deltas). Headline v4 totals: All MDs 18,405 | All Clinics 5,862 | &gt;=10 MDs 4,401 | &gt;=20 MDs 1,476 | Private ALL 10,775 | Academic/Group ALL 7,630. NV Private All MDs shown as 115 = Total - Academic (source cell reads 304, inconsistent with its own totals).</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</si>
</sst>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
    <numFmt numFmtId="169" formatCode="0.0"/>
  </numFmts>
  <fonts count="10">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b val="true"/>
      <sz val="10"/>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5" fontId="4" fillId="4"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6" fontId="4" fillId="4" borderId="1" xfId="0" applyFont="true" applyBorder="true" applyAlignment="true" applyProtection="false">
      <alignment horizontal="general" vertical="bottom" textRotation="0" wrapText="false" indent="0" shrinkToFit="false"/>
      <protection locked="true" hidden="false"/>
    </xf>
    <xf numFmtId="167" fontId="4" fillId="4"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2"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row>
    <row r="9" customFormat="false" ht="15" hidden="false" customHeight="true" outlineLevel="0" collapsed="false">
      <c r="A9" s="2" t="s">
        <v>6</v>
      </c>
    </row>
    <row r="10" customFormat="false" ht="23.2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row>
    <row r="14" customFormat="false" ht="15" hidden="false" customHeight="true" outlineLevel="0" collapsed="false">
      <c r="A14" s="2"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3" t="s">
        <v>14</v>
      </c>
    </row>
    <row r="19" customFormat="false" ht="23.2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2" t="s">
        <v>16</v>
      </c>
    </row>
    <row r="22" customFormat="false" ht="23.25" hidden="false" customHeight="true" outlineLevel="0" collapsed="false">
      <c r="A22" s="3" t="s">
        <v>17</v>
      </c>
    </row>
    <row r="23" customFormat="false" ht="23.2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row>
    <row r="26" customFormat="false" ht="15" hidden="false" customHeight="true" outlineLevel="0" collapsed="false">
      <c r="A26" s="2" t="s">
        <v>20</v>
      </c>
    </row>
    <row r="27" customFormat="false" ht="23.25" hidden="false" customHeight="true" outlineLevel="0" collapsed="false">
      <c r="A27" s="3" t="s">
        <v>21</v>
      </c>
    </row>
    <row r="28" customFormat="false" ht="15" hidden="false" customHeight="true" outlineLevel="0" collapsed="false">
      <c r="A28" s="3"/>
    </row>
    <row r="29" customFormat="false" ht="15" hidden="false" customHeight="true" outlineLevel="0" collapsed="false">
      <c r="A29" s="2" t="s">
        <v>22</v>
      </c>
    </row>
    <row r="30" customFormat="false" ht="15" hidden="false" customHeight="true" outlineLevel="0" collapsed="false">
      <c r="A30" s="3" t="s">
        <v>23</v>
      </c>
    </row>
    <row r="31" customFormat="false" ht="23.25" hidden="false" customHeight="true" outlineLevel="0" collapsed="false">
      <c r="A31" s="3" t="s">
        <v>24</v>
      </c>
    </row>
    <row r="32" customFormat="false" ht="15" hidden="false" customHeight="true" outlineLevel="0" collapsed="false">
      <c r="A32" s="3"/>
    </row>
    <row r="33" customFormat="false" ht="15" hidden="false" customHeight="true" outlineLevel="0" collapsed="false">
      <c r="A33" s="2" t="s">
        <v>25</v>
      </c>
    </row>
    <row r="34" customFormat="false" ht="23.25" hidden="false" customHeight="true" outlineLevel="0" collapsed="false">
      <c r="A34" s="3" t="s">
        <v>26</v>
      </c>
    </row>
    <row r="35" customFormat="false" ht="23.25" hidden="false" customHeight="true" outlineLevel="0" collapsed="false">
      <c r="A35" s="3" t="s">
        <v>27</v>
      </c>
    </row>
    <row r="36" customFormat="false" ht="23.25" hidden="false" customHeight="true" outlineLevel="0" collapsed="false">
      <c r="A36" s="3" t="s">
        <v>28</v>
      </c>
    </row>
    <row r="37" customFormat="false" ht="15" hidden="false" customHeight="true" outlineLevel="0" collapsed="false">
      <c r="A37" s="3"/>
    </row>
    <row r="38" customFormat="false" ht="15" hidden="false" customHeight="true" outlineLevel="0" collapsed="false">
      <c r="A38" s="2" t="s">
        <v>29</v>
      </c>
    </row>
    <row r="39" customFormat="false" ht="23.25" hidden="false" customHeight="true" outlineLevel="0" collapsed="false">
      <c r="A39" s="3" t="s">
        <v>30</v>
      </c>
    </row>
    <row r="41" customFormat="false" ht="15" hidden="false" customHeight="true" outlineLevel="0" collapsed="false">
      <c r="A41" s="2" t="s">
        <v>31</v>
      </c>
    </row>
    <row r="42" customFormat="false" ht="34.5" hidden="false" customHeight="true" outlineLevel="0" collapsed="false">
      <c r="A42" s="3" t="s">
        <v>32</v>
      </c>
    </row>
    <row r="43" customFormat="false" ht="23.25" hidden="false" customHeight="true" outlineLevel="0" collapsed="false">
      <c r="A43" s="3" t="s">
        <v>33</v>
      </c>
    </row>
    <row r="45" customFormat="false" ht="15" hidden="false" customHeight="true" outlineLevel="0" collapsed="false">
      <c r="A45" s="2" t="s">
        <v>34</v>
      </c>
    </row>
    <row r="46" customFormat="false" ht="23.25" hidden="false" customHeight="true" outlineLevel="0" collapsed="false">
      <c r="A46" s="3" t="s">
        <v>35</v>
      </c>
    </row>
    <row r="48" customFormat="false" ht="15" hidden="false" customHeight="true" outlineLevel="0" collapsed="false">
      <c r="A48" s="2" t="s">
        <v>36</v>
      </c>
    </row>
    <row r="49" customFormat="false" ht="23.25" hidden="false" customHeight="true" outlineLevel="0" collapsed="false">
      <c r="A49" s="3" t="s">
        <v>37</v>
      </c>
    </row>
    <row r="51" customFormat="false" ht="15" hidden="false" customHeight="true" outlineLevel="0" collapsed="false">
      <c r="A51" s="2" t="s">
        <v>34</v>
      </c>
    </row>
    <row r="52" customFormat="false" ht="45.75" hidden="false" customHeight="true" outlineLevel="0" collapsed="false">
      <c r="A52"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3"/>
    <col collapsed="false" customWidth="true" hidden="false" outlineLevel="0" max="4" min="4" style="1" width="15"/>
    <col collapsed="false" customWidth="true" hidden="false" outlineLevel="0" max="5" min="5" style="1" width="20"/>
    <col collapsed="false" customWidth="true" hidden="false" outlineLevel="0" max="6" min="6" style="1" width="52"/>
  </cols>
  <sheetData>
    <row r="1" customFormat="false" ht="15" hidden="false" customHeight="true" outlineLevel="0" collapsed="false">
      <c r="A1" s="4" t="s">
        <v>39</v>
      </c>
      <c r="B1" s="4" t="s">
        <v>40</v>
      </c>
      <c r="C1" s="4" t="s">
        <v>41</v>
      </c>
      <c r="D1" s="4" t="s">
        <v>42</v>
      </c>
      <c r="E1" s="4" t="s">
        <v>43</v>
      </c>
      <c r="F1" s="4" t="s">
        <v>44</v>
      </c>
    </row>
    <row r="2" customFormat="false" ht="15" hidden="false" customHeight="true" outlineLevel="0" collapsed="false">
      <c r="A2" s="5" t="s">
        <v>45</v>
      </c>
      <c r="B2" s="6" t="n">
        <v>18405</v>
      </c>
      <c r="C2" s="6" t="n">
        <f aca="false">MAX(1,ROUND(B2/300,0))</f>
        <v>61</v>
      </c>
      <c r="D2" s="6" t="n">
        <f aca="false">ROUND(B2/30,0)</f>
        <v>614</v>
      </c>
      <c r="E2" s="5" t="s">
        <v>46</v>
      </c>
      <c r="F2" s="5" t="s">
        <v>47</v>
      </c>
    </row>
    <row r="3" customFormat="false" ht="15" hidden="false" customHeight="true" outlineLevel="0" collapsed="false">
      <c r="A3" s="7" t="s">
        <v>48</v>
      </c>
      <c r="B3" s="8" t="n">
        <v>8757</v>
      </c>
      <c r="C3" s="8" t="n">
        <f aca="false">MAX(1,ROUND(B3/300,0))</f>
        <v>29</v>
      </c>
      <c r="D3" s="8" t="n">
        <f aca="false">ROUND(B3/30,0)</f>
        <v>292</v>
      </c>
      <c r="E3" s="7" t="s">
        <v>49</v>
      </c>
      <c r="F3" s="7" t="s">
        <v>50</v>
      </c>
    </row>
    <row r="4" customFormat="false" ht="15" hidden="false" customHeight="true" outlineLevel="0" collapsed="false">
      <c r="A4" s="7" t="s">
        <v>51</v>
      </c>
      <c r="B4" s="8" t="n">
        <v>4401</v>
      </c>
      <c r="C4" s="8" t="n">
        <f aca="false">MAX(1,ROUND(B4/300,0))</f>
        <v>15</v>
      </c>
      <c r="D4" s="8" t="n">
        <f aca="false">ROUND(B4/30,0)</f>
        <v>147</v>
      </c>
      <c r="E4" s="7" t="s">
        <v>46</v>
      </c>
      <c r="F4" s="7"/>
    </row>
    <row r="5" customFormat="false" ht="15" hidden="false" customHeight="true" outlineLevel="0" collapsed="false">
      <c r="A5" s="7" t="s">
        <v>52</v>
      </c>
      <c r="B5" s="8" t="n">
        <v>1476</v>
      </c>
      <c r="C5" s="8" t="n">
        <f aca="false">MAX(1,ROUND(B5/300,0))</f>
        <v>5</v>
      </c>
      <c r="D5" s="8" t="n">
        <f aca="false">ROUND(B5/30,0)</f>
        <v>49</v>
      </c>
      <c r="E5" s="7" t="s">
        <v>46</v>
      </c>
      <c r="F5" s="7"/>
    </row>
    <row r="7" customFormat="false" ht="39.75" hidden="false" customHeight="true" outlineLevel="0" collapsed="false">
      <c r="A7" s="9" t="s">
        <v>53</v>
      </c>
      <c r="B7" s="9"/>
      <c r="C7" s="9"/>
      <c r="D7" s="9"/>
      <c r="E7" s="9"/>
      <c r="F7" s="9"/>
    </row>
  </sheetData>
  <mergeCells count="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4" min="3" style="1" width="10"/>
    <col collapsed="false" customWidth="true" hidden="false" outlineLevel="0" max="7" min="5" style="1" width="11"/>
  </cols>
  <sheetData>
    <row r="1" customFormat="false" ht="69.75" hidden="false" customHeight="true" outlineLevel="0" collapsed="false">
      <c r="A1" s="9" t="s">
        <v>54</v>
      </c>
      <c r="B1" s="9"/>
      <c r="C1" s="9"/>
      <c r="D1" s="9"/>
      <c r="E1" s="9"/>
      <c r="F1" s="9"/>
      <c r="G1" s="9"/>
    </row>
    <row r="3" customFormat="false" ht="15" hidden="false" customHeight="true" outlineLevel="0" collapsed="false">
      <c r="A3" s="10" t="s">
        <v>55</v>
      </c>
    </row>
    <row r="4" customFormat="false" ht="15" hidden="false" customHeight="true" outlineLevel="0" collapsed="false">
      <c r="A4" s="4" t="s">
        <v>56</v>
      </c>
      <c r="B4" s="4" t="s">
        <v>57</v>
      </c>
      <c r="C4" s="4" t="s">
        <v>58</v>
      </c>
      <c r="D4" s="4" t="s">
        <v>59</v>
      </c>
    </row>
    <row r="5" customFormat="false" ht="15" hidden="false" customHeight="true" outlineLevel="0" collapsed="false">
      <c r="A5" s="7" t="s">
        <v>60</v>
      </c>
      <c r="B5" s="7" t="s">
        <v>61</v>
      </c>
      <c r="C5" s="7" t="s">
        <v>62</v>
      </c>
      <c r="D5" s="7" t="n">
        <v>39</v>
      </c>
    </row>
    <row r="6" customFormat="false" ht="15" hidden="false" customHeight="true" outlineLevel="0" collapsed="false">
      <c r="A6" s="7" t="s">
        <v>63</v>
      </c>
      <c r="B6" s="7" t="s">
        <v>64</v>
      </c>
      <c r="C6" s="7" t="s">
        <v>65</v>
      </c>
      <c r="D6" s="7" t="n">
        <v>45</v>
      </c>
    </row>
    <row r="7" customFormat="false" ht="15" hidden="false" customHeight="true" outlineLevel="0" collapsed="false">
      <c r="A7" s="7" t="s">
        <v>66</v>
      </c>
      <c r="B7" s="7" t="s">
        <v>67</v>
      </c>
      <c r="C7" s="7" t="s">
        <v>68</v>
      </c>
      <c r="D7" s="7" t="n">
        <v>11</v>
      </c>
    </row>
    <row r="8" customFormat="false" ht="15" hidden="false" customHeight="true" outlineLevel="0" collapsed="false">
      <c r="A8" s="7" t="s">
        <v>69</v>
      </c>
      <c r="B8" s="7" t="s">
        <v>70</v>
      </c>
      <c r="C8" s="7" t="s">
        <v>71</v>
      </c>
      <c r="D8" s="7" t="n">
        <v>6</v>
      </c>
    </row>
    <row r="9" customFormat="false" ht="15" hidden="false" customHeight="true" outlineLevel="0" collapsed="false">
      <c r="A9" s="7" t="s">
        <v>69</v>
      </c>
      <c r="B9" s="7" t="s">
        <v>72</v>
      </c>
      <c r="C9" s="7" t="s">
        <v>73</v>
      </c>
      <c r="D9" s="7" t="n">
        <v>5</v>
      </c>
    </row>
    <row r="10" customFormat="false" ht="15" hidden="false" customHeight="true" outlineLevel="0" collapsed="false">
      <c r="A10" s="11" t="s">
        <v>74</v>
      </c>
      <c r="D10" s="11" t="n">
        <f aca="false">SUM(D5:D9)</f>
        <v>106</v>
      </c>
    </row>
    <row r="12" customFormat="false" ht="15" hidden="false" customHeight="true" outlineLevel="0" collapsed="false">
      <c r="A12" s="10" t="s">
        <v>75</v>
      </c>
    </row>
    <row r="13" customFormat="false" ht="15" hidden="false" customHeight="true" outlineLevel="0" collapsed="false">
      <c r="A13" s="4" t="s">
        <v>76</v>
      </c>
      <c r="B13" s="4" t="s">
        <v>77</v>
      </c>
      <c r="C13" s="4" t="s">
        <v>78</v>
      </c>
      <c r="D13" s="4" t="s">
        <v>79</v>
      </c>
      <c r="E13" s="4" t="s">
        <v>80</v>
      </c>
      <c r="F13" s="4" t="s">
        <v>81</v>
      </c>
      <c r="G13" s="4" t="s">
        <v>82</v>
      </c>
    </row>
    <row r="14" customFormat="false" ht="15" hidden="false" customHeight="true" outlineLevel="0" collapsed="false">
      <c r="A14" s="7" t="s">
        <v>68</v>
      </c>
      <c r="B14" s="7" t="n">
        <v>11</v>
      </c>
      <c r="C14" s="7" t="n">
        <v>11</v>
      </c>
      <c r="D14" s="7" t="n">
        <v>3</v>
      </c>
      <c r="E14" s="7" t="n">
        <v>1</v>
      </c>
      <c r="F14" s="7" t="n">
        <v>1</v>
      </c>
      <c r="G14" s="7" t="n">
        <v>1</v>
      </c>
    </row>
    <row r="15" customFormat="false" ht="15" hidden="false" customHeight="true" outlineLevel="0" collapsed="false">
      <c r="A15" s="7" t="s">
        <v>83</v>
      </c>
      <c r="B15" s="7" t="n">
        <v>37</v>
      </c>
      <c r="C15" s="7" t="n">
        <v>37</v>
      </c>
      <c r="D15" s="7" t="n">
        <v>14</v>
      </c>
      <c r="E15" s="7" t="n">
        <v>1</v>
      </c>
      <c r="F15" s="7" t="n">
        <v>1</v>
      </c>
      <c r="G15" s="7" t="n">
        <v>1</v>
      </c>
    </row>
    <row r="16" customFormat="false" ht="15" hidden="false" customHeight="true" outlineLevel="0" collapsed="false">
      <c r="A16" s="7" t="s">
        <v>71</v>
      </c>
      <c r="B16" s="7" t="n">
        <v>6</v>
      </c>
      <c r="C16" s="7" t="n">
        <v>6</v>
      </c>
      <c r="D16" s="7" t="n">
        <v>2</v>
      </c>
      <c r="E16" s="7" t="n">
        <v>1</v>
      </c>
      <c r="F16" s="7" t="n">
        <v>1</v>
      </c>
      <c r="G16" s="7" t="n">
        <v>1</v>
      </c>
    </row>
    <row r="17" customFormat="false" ht="15" hidden="false" customHeight="true" outlineLevel="0" collapsed="false">
      <c r="A17" s="7" t="s">
        <v>84</v>
      </c>
      <c r="B17" s="7" t="n">
        <v>1</v>
      </c>
      <c r="C17" s="7" t="n">
        <v>1</v>
      </c>
      <c r="D17" s="7" t="n">
        <v>1</v>
      </c>
      <c r="E17" s="7" t="n">
        <v>1</v>
      </c>
      <c r="F17" s="7" t="n">
        <v>1</v>
      </c>
      <c r="G17" s="7" t="n">
        <v>1</v>
      </c>
    </row>
    <row r="18" customFormat="false" ht="15" hidden="false" customHeight="true" outlineLevel="0" collapsed="false">
      <c r="A18" s="7" t="s">
        <v>85</v>
      </c>
      <c r="B18" s="7" t="n">
        <v>4</v>
      </c>
      <c r="C18" s="7" t="n">
        <v>4</v>
      </c>
      <c r="D18" s="7" t="n">
        <v>1</v>
      </c>
      <c r="E18" s="7" t="n">
        <v>1</v>
      </c>
      <c r="F18" s="7" t="n">
        <v>1</v>
      </c>
      <c r="G18" s="7" t="n">
        <v>1</v>
      </c>
    </row>
    <row r="19" customFormat="false" ht="15" hidden="false" customHeight="true" outlineLevel="0" collapsed="false">
      <c r="A19" s="7" t="s">
        <v>86</v>
      </c>
      <c r="B19" s="7" t="n">
        <v>8</v>
      </c>
      <c r="C19" s="7" t="n">
        <v>8</v>
      </c>
      <c r="D19" s="7" t="n">
        <v>2</v>
      </c>
      <c r="E19" s="7" t="n">
        <v>1</v>
      </c>
      <c r="F19" s="7" t="n">
        <v>1</v>
      </c>
      <c r="G19" s="7" t="n">
        <v>1</v>
      </c>
    </row>
    <row r="20" customFormat="false" ht="15" hidden="false" customHeight="true" outlineLevel="0" collapsed="false">
      <c r="A20" s="7" t="s">
        <v>62</v>
      </c>
      <c r="B20" s="7" t="n">
        <v>39</v>
      </c>
      <c r="C20" s="7" t="n">
        <v>39</v>
      </c>
      <c r="D20" s="7" t="n">
        <v>12</v>
      </c>
      <c r="E20" s="7" t="n">
        <v>1</v>
      </c>
      <c r="F20" s="7" t="n">
        <v>1</v>
      </c>
      <c r="G20" s="7" t="n">
        <v>1</v>
      </c>
    </row>
    <row r="21" customFormat="false" ht="15" hidden="false" customHeight="true" outlineLevel="0" collapsed="false">
      <c r="A21" s="11" t="s">
        <v>74</v>
      </c>
      <c r="B21" s="11" t="n">
        <f aca="false">SUM(B14:B20)</f>
        <v>106</v>
      </c>
      <c r="C21" s="11" t="n">
        <f aca="false">SUM(C14:C20)</f>
        <v>106</v>
      </c>
      <c r="D21" s="11" t="n">
        <f aca="false">SUM(D14:D20)</f>
        <v>35</v>
      </c>
      <c r="E21" s="11" t="n">
        <f aca="false">SUM(E14:E20)</f>
        <v>7</v>
      </c>
      <c r="F21" s="11" t="n">
        <f aca="false">SUM(F14:F20)</f>
        <v>7</v>
      </c>
      <c r="G21" s="11" t="n">
        <f aca="false">SUM(G14:G20)</f>
        <v>7</v>
      </c>
    </row>
    <row r="23" customFormat="false" ht="48" hidden="false" customHeight="true" outlineLevel="0" collapsed="false">
      <c r="A23" s="9" t="s">
        <v>87</v>
      </c>
      <c r="B23" s="9"/>
      <c r="C23" s="9"/>
      <c r="D23" s="9"/>
      <c r="E23" s="9"/>
      <c r="F23" s="9"/>
      <c r="G23" s="9"/>
    </row>
  </sheetData>
  <mergeCells count="2">
    <mergeCell ref="A1:G1"/>
    <mergeCell ref="A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19" min="2" style="1" width="11"/>
    <col collapsed="false" customWidth="true" hidden="false" outlineLevel="0" max="20" min="20" style="1" width="10"/>
  </cols>
  <sheetData>
    <row r="1" customFormat="false" ht="15" hidden="false" customHeight="true" outlineLevel="0" collapsed="false">
      <c r="A1" s="12" t="s">
        <v>88</v>
      </c>
      <c r="B1" s="12"/>
      <c r="C1" s="12"/>
      <c r="D1" s="12"/>
      <c r="E1" s="12"/>
      <c r="F1" s="12"/>
      <c r="G1" s="12"/>
      <c r="H1" s="12"/>
      <c r="I1" s="12"/>
      <c r="J1" s="12"/>
      <c r="K1" s="12"/>
      <c r="L1" s="12"/>
      <c r="M1" s="12"/>
      <c r="N1" s="12"/>
      <c r="O1" s="12"/>
      <c r="P1" s="12"/>
      <c r="Q1" s="12"/>
      <c r="R1" s="12"/>
      <c r="S1" s="12"/>
      <c r="T1" s="12"/>
    </row>
    <row r="2" customFormat="false" ht="15" hidden="false" customHeight="true" outlineLevel="0" collapsed="false">
      <c r="B2" s="13" t="s">
        <v>74</v>
      </c>
      <c r="C2" s="13"/>
      <c r="D2" s="13"/>
      <c r="E2" s="13"/>
      <c r="F2" s="13"/>
      <c r="G2" s="13"/>
      <c r="H2" s="13" t="s">
        <v>89</v>
      </c>
      <c r="I2" s="13"/>
      <c r="J2" s="13"/>
      <c r="K2" s="13"/>
      <c r="L2" s="13"/>
      <c r="M2" s="13"/>
      <c r="N2" s="13" t="s">
        <v>90</v>
      </c>
      <c r="O2" s="13"/>
      <c r="P2" s="13"/>
      <c r="Q2" s="13"/>
      <c r="R2" s="13"/>
      <c r="S2" s="13"/>
    </row>
    <row r="3" customFormat="false" ht="15" hidden="false" customHeight="true" outlineLevel="0" collapsed="false">
      <c r="A3" s="4" t="s">
        <v>76</v>
      </c>
      <c r="B3" s="4" t="s">
        <v>91</v>
      </c>
      <c r="C3" s="4" t="s">
        <v>92</v>
      </c>
      <c r="D3" s="4" t="s">
        <v>78</v>
      </c>
      <c r="E3" s="4" t="s">
        <v>81</v>
      </c>
      <c r="F3" s="4" t="s">
        <v>79</v>
      </c>
      <c r="G3" s="4" t="s">
        <v>82</v>
      </c>
      <c r="H3" s="4" t="s">
        <v>91</v>
      </c>
      <c r="I3" s="4" t="s">
        <v>92</v>
      </c>
      <c r="J3" s="4" t="s">
        <v>78</v>
      </c>
      <c r="K3" s="4" t="s">
        <v>81</v>
      </c>
      <c r="L3" s="4" t="s">
        <v>79</v>
      </c>
      <c r="M3" s="4" t="s">
        <v>82</v>
      </c>
      <c r="N3" s="4" t="s">
        <v>91</v>
      </c>
      <c r="O3" s="4" t="s">
        <v>92</v>
      </c>
      <c r="P3" s="4" t="s">
        <v>78</v>
      </c>
      <c r="Q3" s="4" t="s">
        <v>81</v>
      </c>
      <c r="R3" s="4" t="s">
        <v>79</v>
      </c>
      <c r="S3" s="4" t="s">
        <v>82</v>
      </c>
      <c r="T3" s="4" t="s">
        <v>93</v>
      </c>
    </row>
    <row r="4" customFormat="false" ht="15" hidden="false" customHeight="true" outlineLevel="0" collapsed="false">
      <c r="A4" s="14" t="s">
        <v>94</v>
      </c>
      <c r="B4" s="8" t="n">
        <v>50</v>
      </c>
      <c r="C4" s="8" t="n">
        <v>25</v>
      </c>
      <c r="D4" s="8" t="n">
        <v>14</v>
      </c>
      <c r="E4" s="8" t="n">
        <v>10</v>
      </c>
      <c r="F4" s="8" t="n">
        <v>8</v>
      </c>
      <c r="G4" s="8" t="n">
        <v>7</v>
      </c>
      <c r="H4" s="8" t="n">
        <v>37</v>
      </c>
      <c r="I4" s="8" t="n">
        <v>17</v>
      </c>
      <c r="J4" s="8" t="n">
        <v>14</v>
      </c>
      <c r="K4" s="8" t="n">
        <v>10</v>
      </c>
      <c r="L4" s="8" t="n">
        <v>8</v>
      </c>
      <c r="M4" s="8" t="n">
        <v>7</v>
      </c>
      <c r="N4" s="8" t="n">
        <v>13</v>
      </c>
      <c r="O4" s="8" t="n">
        <v>8</v>
      </c>
      <c r="P4" s="8" t="n">
        <v>0</v>
      </c>
      <c r="Q4" s="8" t="n">
        <v>0</v>
      </c>
      <c r="R4" s="8" t="n">
        <v>0</v>
      </c>
      <c r="S4" s="8" t="n">
        <v>0</v>
      </c>
      <c r="T4" s="14" t="s">
        <v>95</v>
      </c>
    </row>
    <row r="5" customFormat="false" ht="15" hidden="false" customHeight="true" outlineLevel="0" collapsed="false">
      <c r="A5" s="14" t="s">
        <v>96</v>
      </c>
      <c r="B5" s="8" t="n">
        <v>294</v>
      </c>
      <c r="C5" s="8" t="n">
        <v>113</v>
      </c>
      <c r="D5" s="8" t="n">
        <v>95</v>
      </c>
      <c r="E5" s="8" t="n">
        <v>55</v>
      </c>
      <c r="F5" s="8" t="n">
        <v>28</v>
      </c>
      <c r="G5" s="8" t="n">
        <v>22</v>
      </c>
      <c r="H5" s="8" t="n">
        <v>236</v>
      </c>
      <c r="I5" s="8" t="n">
        <v>90</v>
      </c>
      <c r="J5" s="8" t="n">
        <v>81</v>
      </c>
      <c r="K5" s="8" t="n">
        <v>46</v>
      </c>
      <c r="L5" s="8" t="n">
        <v>22</v>
      </c>
      <c r="M5" s="8" t="n">
        <v>18</v>
      </c>
      <c r="N5" s="8" t="n">
        <v>58</v>
      </c>
      <c r="O5" s="8" t="n">
        <v>23</v>
      </c>
      <c r="P5" s="8" t="n">
        <v>14</v>
      </c>
      <c r="Q5" s="8" t="n">
        <v>9</v>
      </c>
      <c r="R5" s="8" t="n">
        <v>6</v>
      </c>
      <c r="S5" s="8" t="n">
        <v>4</v>
      </c>
      <c r="T5" s="14" t="s">
        <v>97</v>
      </c>
    </row>
    <row r="6" customFormat="false" ht="15" hidden="false" customHeight="true" outlineLevel="0" collapsed="false">
      <c r="A6" s="14" t="s">
        <v>98</v>
      </c>
      <c r="B6" s="8" t="n">
        <v>180</v>
      </c>
      <c r="C6" s="8" t="n">
        <v>64</v>
      </c>
      <c r="D6" s="8" t="n">
        <v>80</v>
      </c>
      <c r="E6" s="8" t="n">
        <v>39</v>
      </c>
      <c r="F6" s="8" t="n">
        <v>30</v>
      </c>
      <c r="G6" s="8" t="n">
        <v>20</v>
      </c>
      <c r="H6" s="8" t="n">
        <v>116</v>
      </c>
      <c r="I6" s="8" t="n">
        <v>42</v>
      </c>
      <c r="J6" s="8" t="n">
        <v>60</v>
      </c>
      <c r="K6" s="8" t="n">
        <v>26</v>
      </c>
      <c r="L6" s="8" t="n">
        <v>23</v>
      </c>
      <c r="M6" s="8" t="n">
        <v>14</v>
      </c>
      <c r="N6" s="8" t="n">
        <v>64</v>
      </c>
      <c r="O6" s="8" t="n">
        <v>22</v>
      </c>
      <c r="P6" s="8" t="n">
        <v>20</v>
      </c>
      <c r="Q6" s="8" t="n">
        <v>13</v>
      </c>
      <c r="R6" s="8" t="n">
        <v>7</v>
      </c>
      <c r="S6" s="8" t="n">
        <v>6</v>
      </c>
      <c r="T6" s="14" t="s">
        <v>99</v>
      </c>
    </row>
    <row r="7" customFormat="false" ht="15" hidden="false" customHeight="true" outlineLevel="0" collapsed="false">
      <c r="A7" s="14" t="s">
        <v>100</v>
      </c>
      <c r="B7" s="8" t="n">
        <v>273</v>
      </c>
      <c r="C7" s="8" t="n">
        <v>107</v>
      </c>
      <c r="D7" s="8" t="n">
        <v>51</v>
      </c>
      <c r="E7" s="8" t="n">
        <v>27</v>
      </c>
      <c r="F7" s="8" t="n">
        <v>19</v>
      </c>
      <c r="G7" s="8" t="n">
        <v>16</v>
      </c>
      <c r="H7" s="8" t="n">
        <v>189</v>
      </c>
      <c r="I7" s="8" t="n">
        <v>70</v>
      </c>
      <c r="J7" s="8" t="n">
        <v>40</v>
      </c>
      <c r="K7" s="8" t="n">
        <v>21</v>
      </c>
      <c r="L7" s="8" t="n">
        <v>14</v>
      </c>
      <c r="M7" s="8" t="n">
        <v>12</v>
      </c>
      <c r="N7" s="8" t="n">
        <v>84</v>
      </c>
      <c r="O7" s="8" t="n">
        <v>37</v>
      </c>
      <c r="P7" s="8" t="n">
        <v>11</v>
      </c>
      <c r="Q7" s="8" t="n">
        <v>6</v>
      </c>
      <c r="R7" s="8" t="n">
        <v>5</v>
      </c>
      <c r="S7" s="8" t="n">
        <v>4</v>
      </c>
      <c r="T7" s="14" t="s">
        <v>101</v>
      </c>
    </row>
    <row r="8" customFormat="false" ht="15" hidden="false" customHeight="true" outlineLevel="0" collapsed="false">
      <c r="A8" s="14" t="s">
        <v>102</v>
      </c>
      <c r="B8" s="8" t="n">
        <v>1499</v>
      </c>
      <c r="C8" s="8" t="n">
        <v>648</v>
      </c>
      <c r="D8" s="8" t="n">
        <v>306</v>
      </c>
      <c r="E8" s="8" t="n">
        <v>195</v>
      </c>
      <c r="F8" s="8" t="n">
        <v>106</v>
      </c>
      <c r="G8" s="8" t="n">
        <v>90</v>
      </c>
      <c r="H8" s="8" t="n">
        <v>686</v>
      </c>
      <c r="I8" s="8" t="n">
        <v>394</v>
      </c>
      <c r="J8" s="8" t="n">
        <v>147</v>
      </c>
      <c r="K8" s="8" t="n">
        <v>110</v>
      </c>
      <c r="L8" s="8" t="n">
        <v>51</v>
      </c>
      <c r="M8" s="8" t="n">
        <v>46</v>
      </c>
      <c r="N8" s="8" t="n">
        <v>813</v>
      </c>
      <c r="O8" s="8" t="n">
        <v>254</v>
      </c>
      <c r="P8" s="8" t="n">
        <v>159</v>
      </c>
      <c r="Q8" s="8" t="n">
        <v>85</v>
      </c>
      <c r="R8" s="8" t="n">
        <v>55</v>
      </c>
      <c r="S8" s="8" t="n">
        <v>44</v>
      </c>
      <c r="T8" s="14" t="s">
        <v>103</v>
      </c>
    </row>
    <row r="9" customFormat="false" ht="15" hidden="false" customHeight="true" outlineLevel="0" collapsed="false">
      <c r="A9" s="14" t="s">
        <v>104</v>
      </c>
      <c r="B9" s="8" t="n">
        <v>352</v>
      </c>
      <c r="C9" s="8" t="n">
        <v>107</v>
      </c>
      <c r="D9" s="8" t="n">
        <v>82</v>
      </c>
      <c r="E9" s="8" t="n">
        <v>37</v>
      </c>
      <c r="F9" s="8" t="n">
        <v>24</v>
      </c>
      <c r="G9" s="8" t="n">
        <v>16</v>
      </c>
      <c r="H9" s="8" t="n">
        <v>205</v>
      </c>
      <c r="I9" s="8" t="n">
        <v>57</v>
      </c>
      <c r="J9" s="8" t="n">
        <v>56</v>
      </c>
      <c r="K9" s="8" t="n">
        <v>21</v>
      </c>
      <c r="L9" s="8" t="n">
        <v>21</v>
      </c>
      <c r="M9" s="8" t="n">
        <v>13</v>
      </c>
      <c r="N9" s="8" t="n">
        <v>147</v>
      </c>
      <c r="O9" s="8" t="n">
        <v>50</v>
      </c>
      <c r="P9" s="8" t="n">
        <v>26</v>
      </c>
      <c r="Q9" s="8" t="n">
        <v>16</v>
      </c>
      <c r="R9" s="8" t="n">
        <v>3</v>
      </c>
      <c r="S9" s="8" t="n">
        <v>3</v>
      </c>
      <c r="T9" s="14" t="s">
        <v>105</v>
      </c>
    </row>
    <row r="10" customFormat="false" ht="15" hidden="false" customHeight="true" outlineLevel="0" collapsed="false">
      <c r="A10" s="14" t="s">
        <v>106</v>
      </c>
      <c r="B10" s="8" t="n">
        <v>254</v>
      </c>
      <c r="C10" s="8" t="n">
        <v>57</v>
      </c>
      <c r="D10" s="8" t="n">
        <v>32</v>
      </c>
      <c r="E10" s="8" t="n">
        <v>14</v>
      </c>
      <c r="F10" s="8" t="n">
        <v>6</v>
      </c>
      <c r="G10" s="8" t="n">
        <v>6</v>
      </c>
      <c r="H10" s="8" t="n">
        <v>175</v>
      </c>
      <c r="I10" s="8" t="n">
        <v>26</v>
      </c>
      <c r="J10" s="8" t="n">
        <v>24</v>
      </c>
      <c r="K10" s="8" t="n">
        <v>7</v>
      </c>
      <c r="L10" s="8" t="n">
        <v>4</v>
      </c>
      <c r="M10" s="8" t="n">
        <v>4</v>
      </c>
      <c r="N10" s="8" t="n">
        <v>79</v>
      </c>
      <c r="O10" s="8" t="n">
        <v>31</v>
      </c>
      <c r="P10" s="8" t="n">
        <v>8</v>
      </c>
      <c r="Q10" s="8" t="n">
        <v>7</v>
      </c>
      <c r="R10" s="8" t="n">
        <v>2</v>
      </c>
      <c r="S10" s="8" t="n">
        <v>2</v>
      </c>
      <c r="T10" s="14" t="s">
        <v>107</v>
      </c>
    </row>
    <row r="11" customFormat="false" ht="15" hidden="false" customHeight="true" outlineLevel="0" collapsed="false">
      <c r="A11" s="14" t="s">
        <v>108</v>
      </c>
      <c r="B11" s="8" t="n">
        <v>34</v>
      </c>
      <c r="C11" s="8" t="n">
        <v>16</v>
      </c>
      <c r="D11" s="8" t="n">
        <v>1</v>
      </c>
      <c r="E11" s="8" t="n">
        <v>1</v>
      </c>
      <c r="F11" s="8" t="n">
        <v>0</v>
      </c>
      <c r="G11" s="8" t="n">
        <v>0</v>
      </c>
      <c r="H11" s="8" t="n">
        <v>22</v>
      </c>
      <c r="I11" s="8" t="n">
        <v>9</v>
      </c>
      <c r="J11" s="8" t="n">
        <v>0</v>
      </c>
      <c r="K11" s="8" t="n">
        <v>0</v>
      </c>
      <c r="L11" s="8" t="n">
        <v>0</v>
      </c>
      <c r="M11" s="8" t="n">
        <v>0</v>
      </c>
      <c r="N11" s="8" t="n">
        <v>12</v>
      </c>
      <c r="O11" s="8" t="n">
        <v>7</v>
      </c>
      <c r="P11" s="8" t="n">
        <v>1</v>
      </c>
      <c r="Q11" s="8" t="n">
        <v>1</v>
      </c>
      <c r="R11" s="8" t="n">
        <v>0</v>
      </c>
      <c r="S11" s="8" t="n">
        <v>0</v>
      </c>
      <c r="T11" s="14" t="s">
        <v>109</v>
      </c>
    </row>
    <row r="12" customFormat="false" ht="15" hidden="false" customHeight="true" outlineLevel="0" collapsed="false">
      <c r="A12" s="14" t="s">
        <v>110</v>
      </c>
      <c r="B12" s="8" t="n">
        <v>28</v>
      </c>
      <c r="C12" s="8" t="n">
        <v>14</v>
      </c>
      <c r="D12" s="8" t="n">
        <v>2</v>
      </c>
      <c r="E12" s="8" t="n">
        <v>2</v>
      </c>
      <c r="F12" s="8" t="n">
        <v>1</v>
      </c>
      <c r="G12" s="8" t="n">
        <v>1</v>
      </c>
      <c r="H12" s="8" t="n">
        <v>25</v>
      </c>
      <c r="I12" s="8" t="n">
        <v>12</v>
      </c>
      <c r="J12" s="8" t="n">
        <v>1</v>
      </c>
      <c r="K12" s="8" t="n">
        <v>1</v>
      </c>
      <c r="L12" s="8" t="n">
        <v>1</v>
      </c>
      <c r="M12" s="8" t="n">
        <v>1</v>
      </c>
      <c r="N12" s="8" t="n">
        <v>3</v>
      </c>
      <c r="O12" s="8" t="n">
        <v>2</v>
      </c>
      <c r="P12" s="8" t="n">
        <v>1</v>
      </c>
      <c r="Q12" s="8" t="n">
        <v>1</v>
      </c>
      <c r="R12" s="8" t="n">
        <v>0</v>
      </c>
      <c r="S12" s="8" t="n">
        <v>0</v>
      </c>
      <c r="T12" s="14" t="s">
        <v>109</v>
      </c>
    </row>
    <row r="13" customFormat="false" ht="15" hidden="false" customHeight="true" outlineLevel="0" collapsed="false">
      <c r="A13" s="14" t="s">
        <v>111</v>
      </c>
      <c r="B13" s="8" t="n">
        <v>1107</v>
      </c>
      <c r="C13" s="8" t="n">
        <v>273</v>
      </c>
      <c r="D13" s="8" t="n">
        <v>159</v>
      </c>
      <c r="E13" s="8" t="n">
        <v>67</v>
      </c>
      <c r="F13" s="8" t="n">
        <v>46</v>
      </c>
      <c r="G13" s="8" t="n">
        <v>32</v>
      </c>
      <c r="H13" s="8" t="n">
        <v>829</v>
      </c>
      <c r="I13" s="8" t="n">
        <v>153</v>
      </c>
      <c r="J13" s="8" t="n">
        <v>120</v>
      </c>
      <c r="K13" s="8" t="n">
        <v>40</v>
      </c>
      <c r="L13" s="8" t="n">
        <v>33</v>
      </c>
      <c r="M13" s="8" t="n">
        <v>21</v>
      </c>
      <c r="N13" s="8" t="n">
        <v>278</v>
      </c>
      <c r="O13" s="8" t="n">
        <v>120</v>
      </c>
      <c r="P13" s="8" t="n">
        <v>39</v>
      </c>
      <c r="Q13" s="8" t="n">
        <v>27</v>
      </c>
      <c r="R13" s="8" t="n">
        <v>13</v>
      </c>
      <c r="S13" s="8" t="n">
        <v>11</v>
      </c>
      <c r="T13" s="14" t="s">
        <v>112</v>
      </c>
    </row>
    <row r="14" customFormat="false" ht="15" hidden="false" customHeight="true" outlineLevel="0" collapsed="false">
      <c r="A14" s="14" t="s">
        <v>113</v>
      </c>
      <c r="B14" s="8" t="n">
        <v>683</v>
      </c>
      <c r="C14" s="8" t="n">
        <v>220</v>
      </c>
      <c r="D14" s="8" t="n">
        <v>185</v>
      </c>
      <c r="E14" s="8" t="n">
        <v>86</v>
      </c>
      <c r="F14" s="8" t="n">
        <v>63</v>
      </c>
      <c r="G14" s="8" t="n">
        <v>36</v>
      </c>
      <c r="H14" s="8" t="n">
        <v>561</v>
      </c>
      <c r="I14" s="8" t="n">
        <v>171</v>
      </c>
      <c r="J14" s="8" t="n">
        <v>163</v>
      </c>
      <c r="K14" s="8" t="n">
        <v>74</v>
      </c>
      <c r="L14" s="8" t="n">
        <v>59</v>
      </c>
      <c r="M14" s="8" t="n">
        <v>33</v>
      </c>
      <c r="N14" s="8" t="n">
        <v>122</v>
      </c>
      <c r="O14" s="8" t="n">
        <v>49</v>
      </c>
      <c r="P14" s="8" t="n">
        <v>22</v>
      </c>
      <c r="Q14" s="8" t="n">
        <v>12</v>
      </c>
      <c r="R14" s="8" t="n">
        <v>4</v>
      </c>
      <c r="S14" s="8" t="n">
        <v>3</v>
      </c>
      <c r="T14" s="14" t="s">
        <v>114</v>
      </c>
    </row>
    <row r="15" customFormat="false" ht="15" hidden="false" customHeight="true" outlineLevel="0" collapsed="false">
      <c r="A15" s="14" t="s">
        <v>115</v>
      </c>
      <c r="B15" s="8" t="n">
        <v>80</v>
      </c>
      <c r="C15" s="8" t="n">
        <v>40</v>
      </c>
      <c r="D15" s="8" t="n">
        <v>19</v>
      </c>
      <c r="E15" s="8" t="n">
        <v>15</v>
      </c>
      <c r="F15" s="8" t="n">
        <v>11</v>
      </c>
      <c r="G15" s="8" t="n">
        <v>10</v>
      </c>
      <c r="H15" s="8" t="n">
        <v>36</v>
      </c>
      <c r="I15" s="8" t="n">
        <v>27</v>
      </c>
      <c r="J15" s="8" t="n">
        <v>12</v>
      </c>
      <c r="K15" s="8" t="n">
        <v>10</v>
      </c>
      <c r="L15" s="8" t="n">
        <v>8</v>
      </c>
      <c r="M15" s="8" t="n">
        <v>7</v>
      </c>
      <c r="N15" s="8" t="n">
        <v>44</v>
      </c>
      <c r="O15" s="8" t="n">
        <v>13</v>
      </c>
      <c r="P15" s="8" t="n">
        <v>7</v>
      </c>
      <c r="Q15" s="8" t="n">
        <v>5</v>
      </c>
      <c r="R15" s="8" t="n">
        <v>3</v>
      </c>
      <c r="S15" s="8" t="n">
        <v>3</v>
      </c>
      <c r="T15" s="14" t="s">
        <v>103</v>
      </c>
    </row>
    <row r="16" customFormat="false" ht="15" hidden="false" customHeight="true" outlineLevel="0" collapsed="false">
      <c r="A16" s="14" t="s">
        <v>116</v>
      </c>
      <c r="B16" s="8" t="n">
        <v>179</v>
      </c>
      <c r="C16" s="8" t="n">
        <v>51</v>
      </c>
      <c r="D16" s="8" t="n">
        <v>57</v>
      </c>
      <c r="E16" s="8" t="n">
        <v>28</v>
      </c>
      <c r="F16" s="8" t="n">
        <v>17</v>
      </c>
      <c r="G16" s="8" t="n">
        <v>11</v>
      </c>
      <c r="H16" s="8" t="n">
        <v>121</v>
      </c>
      <c r="I16" s="8" t="n">
        <v>28</v>
      </c>
      <c r="J16" s="8" t="n">
        <v>43</v>
      </c>
      <c r="K16" s="8" t="n">
        <v>17</v>
      </c>
      <c r="L16" s="8" t="n">
        <v>13</v>
      </c>
      <c r="M16" s="8" t="n">
        <v>7</v>
      </c>
      <c r="N16" s="8" t="n">
        <v>58</v>
      </c>
      <c r="O16" s="8" t="n">
        <v>23</v>
      </c>
      <c r="P16" s="8" t="n">
        <v>14</v>
      </c>
      <c r="Q16" s="8" t="n">
        <v>11</v>
      </c>
      <c r="R16" s="8" t="n">
        <v>4</v>
      </c>
      <c r="S16" s="8" t="n">
        <v>4</v>
      </c>
      <c r="T16" s="14" t="s">
        <v>117</v>
      </c>
    </row>
    <row r="17" customFormat="false" ht="15" hidden="false" customHeight="true" outlineLevel="0" collapsed="false">
      <c r="A17" s="14" t="s">
        <v>118</v>
      </c>
      <c r="B17" s="8" t="n">
        <v>102</v>
      </c>
      <c r="C17" s="8" t="n">
        <v>32</v>
      </c>
      <c r="D17" s="8" t="n">
        <v>33</v>
      </c>
      <c r="E17" s="8" t="n">
        <v>15</v>
      </c>
      <c r="F17" s="8" t="n">
        <v>7</v>
      </c>
      <c r="G17" s="8" t="n">
        <v>6</v>
      </c>
      <c r="H17" s="8" t="n">
        <v>58</v>
      </c>
      <c r="I17" s="8" t="n">
        <v>20</v>
      </c>
      <c r="J17" s="8" t="n">
        <v>19</v>
      </c>
      <c r="K17" s="8" t="n">
        <v>10</v>
      </c>
      <c r="L17" s="8" t="n">
        <v>4</v>
      </c>
      <c r="M17" s="8" t="n">
        <v>3</v>
      </c>
      <c r="N17" s="8" t="n">
        <v>44</v>
      </c>
      <c r="O17" s="8" t="n">
        <v>12</v>
      </c>
      <c r="P17" s="8" t="n">
        <v>14</v>
      </c>
      <c r="Q17" s="8" t="n">
        <v>5</v>
      </c>
      <c r="R17" s="8" t="n">
        <v>3</v>
      </c>
      <c r="S17" s="8" t="n">
        <v>3</v>
      </c>
      <c r="T17" s="14" t="s">
        <v>101</v>
      </c>
    </row>
    <row r="18" customFormat="false" ht="15" hidden="false" customHeight="true" outlineLevel="0" collapsed="false">
      <c r="A18" s="14" t="s">
        <v>119</v>
      </c>
      <c r="B18" s="8" t="n">
        <v>718</v>
      </c>
      <c r="C18" s="8" t="n">
        <v>241</v>
      </c>
      <c r="D18" s="8" t="n">
        <v>113</v>
      </c>
      <c r="E18" s="8" t="n">
        <v>68</v>
      </c>
      <c r="F18" s="8" t="n">
        <v>22</v>
      </c>
      <c r="G18" s="8" t="n">
        <v>21</v>
      </c>
      <c r="H18" s="8" t="n">
        <v>370</v>
      </c>
      <c r="I18" s="8" t="n">
        <v>160</v>
      </c>
      <c r="J18" s="8" t="n">
        <v>62</v>
      </c>
      <c r="K18" s="8" t="n">
        <v>42</v>
      </c>
      <c r="L18" s="8" t="n">
        <v>13</v>
      </c>
      <c r="M18" s="8" t="n">
        <v>12</v>
      </c>
      <c r="N18" s="8" t="n">
        <v>348</v>
      </c>
      <c r="O18" s="8" t="n">
        <v>81</v>
      </c>
      <c r="P18" s="8" t="n">
        <v>51</v>
      </c>
      <c r="Q18" s="8" t="n">
        <v>26</v>
      </c>
      <c r="R18" s="8" t="n">
        <v>9</v>
      </c>
      <c r="S18" s="8" t="n">
        <v>9</v>
      </c>
      <c r="T18" s="14" t="s">
        <v>120</v>
      </c>
    </row>
    <row r="19" customFormat="false" ht="15" hidden="false" customHeight="true" outlineLevel="0" collapsed="false">
      <c r="A19" s="14" t="s">
        <v>121</v>
      </c>
      <c r="B19" s="8" t="n">
        <v>442</v>
      </c>
      <c r="C19" s="8" t="n">
        <v>111</v>
      </c>
      <c r="D19" s="8" t="n">
        <v>182</v>
      </c>
      <c r="E19" s="8" t="n">
        <v>58</v>
      </c>
      <c r="F19" s="8" t="n">
        <v>64</v>
      </c>
      <c r="G19" s="8" t="n">
        <v>31</v>
      </c>
      <c r="H19" s="8" t="n">
        <v>269</v>
      </c>
      <c r="I19" s="8" t="n">
        <v>63</v>
      </c>
      <c r="J19" s="8" t="n">
        <v>122</v>
      </c>
      <c r="K19" s="8" t="n">
        <v>32</v>
      </c>
      <c r="L19" s="8" t="n">
        <v>45</v>
      </c>
      <c r="M19" s="8" t="n">
        <v>18</v>
      </c>
      <c r="N19" s="8" t="n">
        <v>173</v>
      </c>
      <c r="O19" s="8" t="n">
        <v>48</v>
      </c>
      <c r="P19" s="8" t="n">
        <v>60</v>
      </c>
      <c r="Q19" s="8" t="n">
        <v>26</v>
      </c>
      <c r="R19" s="8" t="n">
        <v>19</v>
      </c>
      <c r="S19" s="8" t="n">
        <v>13</v>
      </c>
      <c r="T19" s="14" t="s">
        <v>122</v>
      </c>
    </row>
    <row r="20" customFormat="false" ht="15" hidden="false" customHeight="true" outlineLevel="0" collapsed="false">
      <c r="A20" s="14" t="s">
        <v>123</v>
      </c>
      <c r="B20" s="8" t="n">
        <v>176</v>
      </c>
      <c r="C20" s="8" t="n">
        <v>51</v>
      </c>
      <c r="D20" s="8" t="n">
        <v>60</v>
      </c>
      <c r="E20" s="8" t="n">
        <v>23</v>
      </c>
      <c r="F20" s="8" t="n">
        <v>22</v>
      </c>
      <c r="G20" s="8" t="n">
        <v>11</v>
      </c>
      <c r="H20" s="8" t="n">
        <v>136</v>
      </c>
      <c r="I20" s="8" t="n">
        <v>32</v>
      </c>
      <c r="J20" s="8" t="n">
        <v>50</v>
      </c>
      <c r="K20" s="8" t="n">
        <v>16</v>
      </c>
      <c r="L20" s="8" t="n">
        <v>17</v>
      </c>
      <c r="M20" s="8" t="n">
        <v>8</v>
      </c>
      <c r="N20" s="8" t="n">
        <v>40</v>
      </c>
      <c r="O20" s="8" t="n">
        <v>19</v>
      </c>
      <c r="P20" s="8" t="n">
        <v>10</v>
      </c>
      <c r="Q20" s="8" t="n">
        <v>7</v>
      </c>
      <c r="R20" s="8" t="n">
        <v>5</v>
      </c>
      <c r="S20" s="8" t="n">
        <v>3</v>
      </c>
      <c r="T20" s="14" t="s">
        <v>124</v>
      </c>
    </row>
    <row r="21" customFormat="false" ht="15" hidden="false" customHeight="true" outlineLevel="0" collapsed="false">
      <c r="A21" s="14" t="s">
        <v>125</v>
      </c>
      <c r="B21" s="8" t="n">
        <v>277</v>
      </c>
      <c r="C21" s="8" t="n">
        <v>77</v>
      </c>
      <c r="D21" s="8" t="n">
        <v>93</v>
      </c>
      <c r="E21" s="8" t="n">
        <v>41</v>
      </c>
      <c r="F21" s="8" t="n">
        <v>36</v>
      </c>
      <c r="G21" s="8" t="n">
        <v>22</v>
      </c>
      <c r="H21" s="8" t="n">
        <v>170</v>
      </c>
      <c r="I21" s="8" t="n">
        <v>47</v>
      </c>
      <c r="J21" s="8" t="n">
        <v>57</v>
      </c>
      <c r="K21" s="8" t="n">
        <v>28</v>
      </c>
      <c r="L21" s="8" t="n">
        <v>23</v>
      </c>
      <c r="M21" s="8" t="n">
        <v>14</v>
      </c>
      <c r="N21" s="8" t="n">
        <v>107</v>
      </c>
      <c r="O21" s="8" t="n">
        <v>30</v>
      </c>
      <c r="P21" s="8" t="n">
        <v>36</v>
      </c>
      <c r="Q21" s="8" t="n">
        <v>13</v>
      </c>
      <c r="R21" s="8" t="n">
        <v>13</v>
      </c>
      <c r="S21" s="8" t="n">
        <v>8</v>
      </c>
      <c r="T21" s="14" t="s">
        <v>126</v>
      </c>
    </row>
    <row r="22" customFormat="false" ht="15" hidden="false" customHeight="true" outlineLevel="0" collapsed="false">
      <c r="A22" s="14" t="s">
        <v>127</v>
      </c>
      <c r="B22" s="8" t="n">
        <v>297</v>
      </c>
      <c r="C22" s="8" t="n">
        <v>112</v>
      </c>
      <c r="D22" s="8" t="n">
        <v>73</v>
      </c>
      <c r="E22" s="8" t="n">
        <v>42</v>
      </c>
      <c r="F22" s="8" t="n">
        <v>21</v>
      </c>
      <c r="G22" s="8" t="n">
        <v>16</v>
      </c>
      <c r="H22" s="8" t="n">
        <v>160</v>
      </c>
      <c r="I22" s="8" t="n">
        <v>65</v>
      </c>
      <c r="J22" s="8" t="n">
        <v>44</v>
      </c>
      <c r="K22" s="8" t="n">
        <v>25</v>
      </c>
      <c r="L22" s="8" t="n">
        <v>13</v>
      </c>
      <c r="M22" s="8" t="n">
        <v>9</v>
      </c>
      <c r="N22" s="8" t="n">
        <v>137</v>
      </c>
      <c r="O22" s="8" t="n">
        <v>47</v>
      </c>
      <c r="P22" s="8" t="n">
        <v>29</v>
      </c>
      <c r="Q22" s="8" t="n">
        <v>17</v>
      </c>
      <c r="R22" s="8" t="n">
        <v>8</v>
      </c>
      <c r="S22" s="8" t="n">
        <v>7</v>
      </c>
      <c r="T22" s="14" t="s">
        <v>99</v>
      </c>
    </row>
    <row r="23" customFormat="false" ht="15" hidden="false" customHeight="true" outlineLevel="0" collapsed="false">
      <c r="A23" s="14" t="s">
        <v>128</v>
      </c>
      <c r="B23" s="8" t="n">
        <v>353</v>
      </c>
      <c r="C23" s="8" t="n">
        <v>119</v>
      </c>
      <c r="D23" s="8" t="n">
        <v>44</v>
      </c>
      <c r="E23" s="8" t="n">
        <v>34</v>
      </c>
      <c r="F23" s="8" t="n">
        <v>11</v>
      </c>
      <c r="G23" s="8" t="n">
        <v>10</v>
      </c>
      <c r="H23" s="8" t="n">
        <v>175</v>
      </c>
      <c r="I23" s="8" t="n">
        <v>74</v>
      </c>
      <c r="J23" s="8" t="n">
        <v>27</v>
      </c>
      <c r="K23" s="8" t="n">
        <v>19</v>
      </c>
      <c r="L23" s="8" t="n">
        <v>7</v>
      </c>
      <c r="M23" s="8" t="n">
        <v>7</v>
      </c>
      <c r="N23" s="8" t="n">
        <v>178</v>
      </c>
      <c r="O23" s="8" t="n">
        <v>45</v>
      </c>
      <c r="P23" s="8" t="n">
        <v>17</v>
      </c>
      <c r="Q23" s="8" t="n">
        <v>15</v>
      </c>
      <c r="R23" s="8" t="n">
        <v>4</v>
      </c>
      <c r="S23" s="8" t="n">
        <v>3</v>
      </c>
      <c r="T23" s="14" t="s">
        <v>107</v>
      </c>
    </row>
    <row r="24" customFormat="false" ht="15" hidden="false" customHeight="true" outlineLevel="0" collapsed="false">
      <c r="A24" s="14" t="s">
        <v>129</v>
      </c>
      <c r="B24" s="8" t="n">
        <v>320</v>
      </c>
      <c r="C24" s="8" t="n">
        <v>97</v>
      </c>
      <c r="D24" s="8" t="n">
        <v>42</v>
      </c>
      <c r="E24" s="8" t="n">
        <v>26</v>
      </c>
      <c r="F24" s="8" t="n">
        <v>14</v>
      </c>
      <c r="G24" s="8" t="n">
        <v>13</v>
      </c>
      <c r="H24" s="8" t="n">
        <v>205</v>
      </c>
      <c r="I24" s="8" t="n">
        <v>50</v>
      </c>
      <c r="J24" s="8" t="n">
        <v>31</v>
      </c>
      <c r="K24" s="8" t="n">
        <v>15</v>
      </c>
      <c r="L24" s="8" t="n">
        <v>8</v>
      </c>
      <c r="M24" s="8" t="n">
        <v>7</v>
      </c>
      <c r="N24" s="8" t="n">
        <v>115</v>
      </c>
      <c r="O24" s="8" t="n">
        <v>47</v>
      </c>
      <c r="P24" s="8" t="n">
        <v>11</v>
      </c>
      <c r="Q24" s="8" t="n">
        <v>11</v>
      </c>
      <c r="R24" s="8" t="n">
        <v>6</v>
      </c>
      <c r="S24" s="8" t="n">
        <v>6</v>
      </c>
      <c r="T24" s="14" t="s">
        <v>109</v>
      </c>
    </row>
    <row r="25" customFormat="false" ht="15" hidden="false" customHeight="true" outlineLevel="0" collapsed="false">
      <c r="A25" s="14" t="s">
        <v>130</v>
      </c>
      <c r="B25" s="8" t="n">
        <v>110</v>
      </c>
      <c r="C25" s="8" t="n">
        <v>41</v>
      </c>
      <c r="D25" s="8" t="n">
        <v>22</v>
      </c>
      <c r="E25" s="8" t="n">
        <v>7</v>
      </c>
      <c r="F25" s="8" t="n">
        <v>6</v>
      </c>
      <c r="G25" s="8" t="n">
        <v>2</v>
      </c>
      <c r="H25" s="8" t="n">
        <v>42</v>
      </c>
      <c r="I25" s="8" t="n">
        <v>16</v>
      </c>
      <c r="J25" s="8" t="n">
        <v>18</v>
      </c>
      <c r="K25" s="8" t="n">
        <v>3</v>
      </c>
      <c r="L25" s="8" t="n">
        <v>5</v>
      </c>
      <c r="M25" s="8" t="n">
        <v>1</v>
      </c>
      <c r="N25" s="8" t="n">
        <v>68</v>
      </c>
      <c r="O25" s="8" t="n">
        <v>25</v>
      </c>
      <c r="P25" s="8" t="n">
        <v>4</v>
      </c>
      <c r="Q25" s="8" t="n">
        <v>4</v>
      </c>
      <c r="R25" s="8" t="n">
        <v>1</v>
      </c>
      <c r="S25" s="8" t="n">
        <v>1</v>
      </c>
      <c r="T25" s="14" t="s">
        <v>107</v>
      </c>
    </row>
    <row r="26" customFormat="false" ht="15" hidden="false" customHeight="true" outlineLevel="0" collapsed="false">
      <c r="A26" s="14" t="s">
        <v>68</v>
      </c>
      <c r="B26" s="15" t="n">
        <v>746</v>
      </c>
      <c r="C26" s="15" t="n">
        <v>207</v>
      </c>
      <c r="D26" s="15" t="n">
        <v>222</v>
      </c>
      <c r="E26" s="15" t="n">
        <v>102</v>
      </c>
      <c r="F26" s="15" t="n">
        <v>68</v>
      </c>
      <c r="G26" s="15" t="n">
        <v>42</v>
      </c>
      <c r="H26" s="15" t="n">
        <v>316</v>
      </c>
      <c r="I26" s="15" t="n">
        <v>112</v>
      </c>
      <c r="J26" s="15" t="n">
        <v>124</v>
      </c>
      <c r="K26" s="15" t="n">
        <v>58</v>
      </c>
      <c r="L26" s="15" t="n">
        <v>36</v>
      </c>
      <c r="M26" s="15" t="n">
        <v>25</v>
      </c>
      <c r="N26" s="15" t="n">
        <v>430</v>
      </c>
      <c r="O26" s="15" t="n">
        <v>95</v>
      </c>
      <c r="P26" s="15" t="n">
        <v>98</v>
      </c>
      <c r="Q26" s="15" t="n">
        <v>44</v>
      </c>
      <c r="R26" s="15" t="n">
        <v>32</v>
      </c>
      <c r="S26" s="15" t="n">
        <v>17</v>
      </c>
      <c r="T26" s="14" t="s">
        <v>131</v>
      </c>
    </row>
    <row r="27" customFormat="false" ht="15" hidden="false" customHeight="true" outlineLevel="0" collapsed="false">
      <c r="A27" s="14" t="s">
        <v>132</v>
      </c>
      <c r="B27" s="8" t="n">
        <v>395</v>
      </c>
      <c r="C27" s="8" t="n">
        <v>93</v>
      </c>
      <c r="D27" s="8" t="n">
        <v>89</v>
      </c>
      <c r="E27" s="8" t="n">
        <v>37</v>
      </c>
      <c r="F27" s="8" t="n">
        <v>22</v>
      </c>
      <c r="G27" s="8" t="n">
        <v>14</v>
      </c>
      <c r="H27" s="8" t="n">
        <v>215</v>
      </c>
      <c r="I27" s="8" t="n">
        <v>46</v>
      </c>
      <c r="J27" s="8" t="n">
        <v>59</v>
      </c>
      <c r="K27" s="8" t="n">
        <v>18</v>
      </c>
      <c r="L27" s="8" t="n">
        <v>19</v>
      </c>
      <c r="M27" s="8" t="n">
        <v>11</v>
      </c>
      <c r="N27" s="8" t="n">
        <v>180</v>
      </c>
      <c r="O27" s="8" t="n">
        <v>47</v>
      </c>
      <c r="P27" s="8" t="n">
        <v>30</v>
      </c>
      <c r="Q27" s="8" t="n">
        <v>19</v>
      </c>
      <c r="R27" s="8" t="n">
        <v>3</v>
      </c>
      <c r="S27" s="8" t="n">
        <v>3</v>
      </c>
      <c r="T27" s="14" t="s">
        <v>133</v>
      </c>
    </row>
    <row r="28" customFormat="false" ht="15" hidden="false" customHeight="true" outlineLevel="0" collapsed="false">
      <c r="A28" s="14" t="s">
        <v>134</v>
      </c>
      <c r="B28" s="8" t="n">
        <v>387</v>
      </c>
      <c r="C28" s="8" t="n">
        <v>123</v>
      </c>
      <c r="D28" s="8" t="n">
        <v>102</v>
      </c>
      <c r="E28" s="8" t="n">
        <v>52</v>
      </c>
      <c r="F28" s="8" t="n">
        <v>30</v>
      </c>
      <c r="G28" s="8" t="n">
        <v>25</v>
      </c>
      <c r="H28" s="8" t="n">
        <v>220</v>
      </c>
      <c r="I28" s="8" t="n">
        <v>72</v>
      </c>
      <c r="J28" s="8" t="n">
        <v>59</v>
      </c>
      <c r="K28" s="8" t="n">
        <v>28</v>
      </c>
      <c r="L28" s="8" t="n">
        <v>18</v>
      </c>
      <c r="M28" s="8" t="n">
        <v>13</v>
      </c>
      <c r="N28" s="8" t="n">
        <v>167</v>
      </c>
      <c r="O28" s="8" t="n">
        <v>51</v>
      </c>
      <c r="P28" s="8" t="n">
        <v>43</v>
      </c>
      <c r="Q28" s="8" t="n">
        <v>24</v>
      </c>
      <c r="R28" s="8" t="n">
        <v>12</v>
      </c>
      <c r="S28" s="8" t="n">
        <v>12</v>
      </c>
      <c r="T28" s="14" t="s">
        <v>126</v>
      </c>
    </row>
    <row r="29" customFormat="false" ht="15" hidden="false" customHeight="true" outlineLevel="0" collapsed="false">
      <c r="A29" s="14" t="s">
        <v>135</v>
      </c>
      <c r="B29" s="8" t="n">
        <v>168</v>
      </c>
      <c r="C29" s="8" t="n">
        <v>61</v>
      </c>
      <c r="D29" s="8" t="n">
        <v>82</v>
      </c>
      <c r="E29" s="8" t="n">
        <v>36</v>
      </c>
      <c r="F29" s="8" t="n">
        <v>36</v>
      </c>
      <c r="G29" s="8" t="n">
        <v>21</v>
      </c>
      <c r="H29" s="8" t="n">
        <v>137</v>
      </c>
      <c r="I29" s="8" t="n">
        <v>47</v>
      </c>
      <c r="J29" s="8" t="n">
        <v>75</v>
      </c>
      <c r="K29" s="8" t="n">
        <v>32</v>
      </c>
      <c r="L29" s="8" t="n">
        <v>34</v>
      </c>
      <c r="M29" s="8" t="n">
        <v>19</v>
      </c>
      <c r="N29" s="8" t="n">
        <v>31</v>
      </c>
      <c r="O29" s="8" t="n">
        <v>14</v>
      </c>
      <c r="P29" s="8" t="n">
        <v>7</v>
      </c>
      <c r="Q29" s="8" t="n">
        <v>4</v>
      </c>
      <c r="R29" s="8" t="n">
        <v>2</v>
      </c>
      <c r="S29" s="8" t="n">
        <v>2</v>
      </c>
      <c r="T29" s="14" t="s">
        <v>97</v>
      </c>
    </row>
    <row r="30" customFormat="false" ht="15" hidden="false" customHeight="true" outlineLevel="0" collapsed="false">
      <c r="A30" s="14" t="s">
        <v>136</v>
      </c>
      <c r="B30" s="8" t="n">
        <v>69</v>
      </c>
      <c r="C30" s="8" t="n">
        <v>37</v>
      </c>
      <c r="D30" s="8" t="n">
        <v>13</v>
      </c>
      <c r="E30" s="8" t="n">
        <v>9</v>
      </c>
      <c r="F30" s="8" t="n">
        <v>4</v>
      </c>
      <c r="G30" s="8" t="n">
        <v>4</v>
      </c>
      <c r="H30" s="8" t="n">
        <v>33</v>
      </c>
      <c r="I30" s="8" t="n">
        <v>18</v>
      </c>
      <c r="J30" s="8" t="n">
        <v>11</v>
      </c>
      <c r="K30" s="8" t="n">
        <v>7</v>
      </c>
      <c r="L30" s="8" t="n">
        <v>3</v>
      </c>
      <c r="M30" s="8" t="n">
        <v>3</v>
      </c>
      <c r="N30" s="8" t="n">
        <v>36</v>
      </c>
      <c r="O30" s="8" t="n">
        <v>19</v>
      </c>
      <c r="P30" s="8" t="n">
        <v>2</v>
      </c>
      <c r="Q30" s="8" t="n">
        <v>2</v>
      </c>
      <c r="R30" s="8" t="n">
        <v>1</v>
      </c>
      <c r="S30" s="8" t="n">
        <v>1</v>
      </c>
      <c r="T30" s="14" t="s">
        <v>101</v>
      </c>
    </row>
    <row r="31" customFormat="false" ht="15" hidden="false" customHeight="true" outlineLevel="0" collapsed="false">
      <c r="A31" s="14" t="s">
        <v>83</v>
      </c>
      <c r="B31" s="15" t="n">
        <v>779</v>
      </c>
      <c r="C31" s="15" t="n">
        <v>181</v>
      </c>
      <c r="D31" s="15" t="n">
        <v>192</v>
      </c>
      <c r="E31" s="15" t="n">
        <v>77</v>
      </c>
      <c r="F31" s="15" t="n">
        <v>54</v>
      </c>
      <c r="G31" s="15" t="n">
        <v>32</v>
      </c>
      <c r="H31" s="15" t="n">
        <v>473</v>
      </c>
      <c r="I31" s="15" t="n">
        <v>110</v>
      </c>
      <c r="J31" s="15" t="n">
        <v>146</v>
      </c>
      <c r="K31" s="15" t="n">
        <v>50</v>
      </c>
      <c r="L31" s="15" t="n">
        <v>40</v>
      </c>
      <c r="M31" s="15" t="n">
        <v>20</v>
      </c>
      <c r="N31" s="15" t="n">
        <v>306</v>
      </c>
      <c r="O31" s="15" t="n">
        <v>71</v>
      </c>
      <c r="P31" s="15" t="n">
        <v>46</v>
      </c>
      <c r="Q31" s="15" t="n">
        <v>27</v>
      </c>
      <c r="R31" s="15" t="n">
        <v>14</v>
      </c>
      <c r="S31" s="15" t="n">
        <v>12</v>
      </c>
      <c r="T31" s="14" t="s">
        <v>137</v>
      </c>
    </row>
    <row r="32" customFormat="false" ht="15" hidden="false" customHeight="true" outlineLevel="0" collapsed="false">
      <c r="A32" s="14" t="s">
        <v>138</v>
      </c>
      <c r="B32" s="8" t="n">
        <v>53</v>
      </c>
      <c r="C32" s="8" t="n">
        <v>18</v>
      </c>
      <c r="D32" s="8" t="n">
        <v>26</v>
      </c>
      <c r="E32" s="8" t="n">
        <v>10</v>
      </c>
      <c r="F32" s="8" t="n">
        <v>9</v>
      </c>
      <c r="G32" s="8" t="n">
        <v>4</v>
      </c>
      <c r="H32" s="8" t="n">
        <v>19</v>
      </c>
      <c r="I32" s="8" t="n">
        <v>9</v>
      </c>
      <c r="J32" s="8" t="n">
        <v>9</v>
      </c>
      <c r="K32" s="8" t="n">
        <v>5</v>
      </c>
      <c r="L32" s="8" t="n">
        <v>4</v>
      </c>
      <c r="M32" s="8" t="n">
        <v>2</v>
      </c>
      <c r="N32" s="8" t="n">
        <v>34</v>
      </c>
      <c r="O32" s="8" t="n">
        <v>9</v>
      </c>
      <c r="P32" s="8" t="n">
        <v>17</v>
      </c>
      <c r="Q32" s="8" t="n">
        <v>5</v>
      </c>
      <c r="R32" s="8" t="n">
        <v>5</v>
      </c>
      <c r="S32" s="8" t="n">
        <v>2</v>
      </c>
      <c r="T32" s="14" t="s">
        <v>117</v>
      </c>
    </row>
    <row r="33" customFormat="false" ht="15" hidden="false" customHeight="true" outlineLevel="0" collapsed="false">
      <c r="A33" s="14" t="s">
        <v>139</v>
      </c>
      <c r="B33" s="8" t="n">
        <v>142</v>
      </c>
      <c r="C33" s="8" t="n">
        <v>34</v>
      </c>
      <c r="D33" s="8" t="n">
        <v>36</v>
      </c>
      <c r="E33" s="8" t="n">
        <v>20</v>
      </c>
      <c r="F33" s="8" t="n">
        <v>13</v>
      </c>
      <c r="G33" s="8" t="n">
        <v>9</v>
      </c>
      <c r="H33" s="8" t="n">
        <v>98</v>
      </c>
      <c r="I33" s="8" t="n">
        <v>22</v>
      </c>
      <c r="J33" s="8" t="n">
        <v>25</v>
      </c>
      <c r="K33" s="8" t="n">
        <v>12</v>
      </c>
      <c r="L33" s="8" t="n">
        <v>11</v>
      </c>
      <c r="M33" s="8" t="n">
        <v>7</v>
      </c>
      <c r="N33" s="8" t="n">
        <v>44</v>
      </c>
      <c r="O33" s="8" t="n">
        <v>12</v>
      </c>
      <c r="P33" s="8" t="n">
        <v>11</v>
      </c>
      <c r="Q33" s="8" t="n">
        <v>8</v>
      </c>
      <c r="R33" s="8" t="n">
        <v>2</v>
      </c>
      <c r="S33" s="8" t="n">
        <v>2</v>
      </c>
      <c r="T33" s="14" t="s">
        <v>124</v>
      </c>
    </row>
    <row r="34" customFormat="false" ht="15" hidden="false" customHeight="true" outlineLevel="0" collapsed="false">
      <c r="A34" s="14" t="s">
        <v>140</v>
      </c>
      <c r="B34" s="8" t="n">
        <v>92</v>
      </c>
      <c r="C34" s="8" t="n">
        <v>26</v>
      </c>
      <c r="D34" s="8" t="n">
        <v>19</v>
      </c>
      <c r="E34" s="8" t="n">
        <v>9</v>
      </c>
      <c r="F34" s="8" t="n">
        <v>7</v>
      </c>
      <c r="G34" s="8" t="n">
        <v>4</v>
      </c>
      <c r="H34" s="8" t="n">
        <v>40</v>
      </c>
      <c r="I34" s="8" t="n">
        <v>9</v>
      </c>
      <c r="J34" s="8" t="n">
        <v>14</v>
      </c>
      <c r="K34" s="8" t="n">
        <v>4</v>
      </c>
      <c r="L34" s="8" t="n">
        <v>6</v>
      </c>
      <c r="M34" s="8" t="n">
        <v>3</v>
      </c>
      <c r="N34" s="8" t="n">
        <v>52</v>
      </c>
      <c r="O34" s="8" t="n">
        <v>17</v>
      </c>
      <c r="P34" s="8" t="n">
        <v>5</v>
      </c>
      <c r="Q34" s="8" t="n">
        <v>5</v>
      </c>
      <c r="R34" s="8" t="n">
        <v>1</v>
      </c>
      <c r="S34" s="8" t="n">
        <v>1</v>
      </c>
      <c r="T34" s="14" t="s">
        <v>107</v>
      </c>
    </row>
    <row r="35" customFormat="false" ht="15" hidden="false" customHeight="true" outlineLevel="0" collapsed="false">
      <c r="A35" s="14" t="s">
        <v>71</v>
      </c>
      <c r="B35" s="15" t="n">
        <v>428</v>
      </c>
      <c r="C35" s="15" t="n">
        <v>142</v>
      </c>
      <c r="D35" s="15" t="n">
        <v>62</v>
      </c>
      <c r="E35" s="15" t="n">
        <v>42</v>
      </c>
      <c r="F35" s="15" t="n">
        <v>21</v>
      </c>
      <c r="G35" s="15" t="n">
        <v>17</v>
      </c>
      <c r="H35" s="15" t="n">
        <v>233</v>
      </c>
      <c r="I35" s="15" t="n">
        <v>98</v>
      </c>
      <c r="J35" s="15" t="n">
        <v>45</v>
      </c>
      <c r="K35" s="15" t="n">
        <v>31</v>
      </c>
      <c r="L35" s="15" t="n">
        <v>14</v>
      </c>
      <c r="M35" s="15" t="n">
        <v>12</v>
      </c>
      <c r="N35" s="15" t="n">
        <v>195</v>
      </c>
      <c r="O35" s="15" t="n">
        <v>44</v>
      </c>
      <c r="P35" s="15" t="n">
        <v>17</v>
      </c>
      <c r="Q35" s="15" t="n">
        <v>11</v>
      </c>
      <c r="R35" s="15" t="n">
        <v>7</v>
      </c>
      <c r="S35" s="15" t="n">
        <v>5</v>
      </c>
      <c r="T35" s="14" t="s">
        <v>141</v>
      </c>
    </row>
    <row r="36" customFormat="false" ht="15" hidden="false" customHeight="true" outlineLevel="0" collapsed="false">
      <c r="A36" s="14" t="s">
        <v>142</v>
      </c>
      <c r="B36" s="8" t="n">
        <v>86</v>
      </c>
      <c r="C36" s="8" t="n">
        <v>30</v>
      </c>
      <c r="D36" s="8" t="n">
        <v>10</v>
      </c>
      <c r="E36" s="8" t="n">
        <v>9</v>
      </c>
      <c r="F36" s="8" t="n">
        <v>5</v>
      </c>
      <c r="G36" s="8" t="n">
        <v>5</v>
      </c>
      <c r="H36" s="8" t="n">
        <v>50</v>
      </c>
      <c r="I36" s="8" t="n">
        <v>19</v>
      </c>
      <c r="J36" s="8" t="n">
        <v>8</v>
      </c>
      <c r="K36" s="8" t="n">
        <v>7</v>
      </c>
      <c r="L36" s="8" t="n">
        <v>5</v>
      </c>
      <c r="M36" s="8" t="n">
        <v>5</v>
      </c>
      <c r="N36" s="8" t="n">
        <v>36</v>
      </c>
      <c r="O36" s="8" t="n">
        <v>11</v>
      </c>
      <c r="P36" s="8" t="n">
        <v>2</v>
      </c>
      <c r="Q36" s="8" t="n">
        <v>2</v>
      </c>
      <c r="R36" s="8" t="n">
        <v>0</v>
      </c>
      <c r="S36" s="8" t="n">
        <v>0</v>
      </c>
      <c r="T36" s="14" t="s">
        <v>124</v>
      </c>
    </row>
    <row r="37" customFormat="false" ht="15" hidden="false" customHeight="true" outlineLevel="0" collapsed="false">
      <c r="A37" s="14" t="s">
        <v>143</v>
      </c>
      <c r="B37" s="8" t="n">
        <v>150</v>
      </c>
      <c r="C37" s="8" t="n">
        <v>55</v>
      </c>
      <c r="D37" s="8" t="n">
        <v>32</v>
      </c>
      <c r="E37" s="8" t="n">
        <v>15</v>
      </c>
      <c r="F37" s="8" t="n">
        <v>10</v>
      </c>
      <c r="G37" s="8" t="n">
        <v>7</v>
      </c>
      <c r="H37" s="16" t="n">
        <v>115</v>
      </c>
      <c r="I37" s="8" t="n">
        <v>40</v>
      </c>
      <c r="J37" s="8" t="n">
        <v>28</v>
      </c>
      <c r="K37" s="8" t="n">
        <v>12</v>
      </c>
      <c r="L37" s="8" t="n">
        <v>9</v>
      </c>
      <c r="M37" s="8" t="n">
        <v>6</v>
      </c>
      <c r="N37" s="8" t="n">
        <v>35</v>
      </c>
      <c r="O37" s="8" t="n">
        <v>15</v>
      </c>
      <c r="P37" s="8" t="n">
        <v>4</v>
      </c>
      <c r="Q37" s="8" t="n">
        <v>3</v>
      </c>
      <c r="R37" s="8" t="n">
        <v>1</v>
      </c>
      <c r="S37" s="8" t="n">
        <v>1</v>
      </c>
      <c r="T37" s="14" t="s">
        <v>101</v>
      </c>
    </row>
    <row r="38" customFormat="false" ht="15" hidden="false" customHeight="true" outlineLevel="0" collapsed="false">
      <c r="A38" s="14" t="s">
        <v>84</v>
      </c>
      <c r="B38" s="15" t="n">
        <v>1030</v>
      </c>
      <c r="C38" s="15" t="n">
        <v>404</v>
      </c>
      <c r="D38" s="15" t="n">
        <v>188</v>
      </c>
      <c r="E38" s="15" t="n">
        <v>135</v>
      </c>
      <c r="F38" s="15" t="n">
        <v>78</v>
      </c>
      <c r="G38" s="15" t="n">
        <v>67</v>
      </c>
      <c r="H38" s="15" t="n">
        <v>617</v>
      </c>
      <c r="I38" s="15" t="n">
        <v>256</v>
      </c>
      <c r="J38" s="15" t="n">
        <v>123</v>
      </c>
      <c r="K38" s="15" t="n">
        <v>85</v>
      </c>
      <c r="L38" s="15" t="n">
        <v>54</v>
      </c>
      <c r="M38" s="15" t="n">
        <v>44</v>
      </c>
      <c r="N38" s="15" t="n">
        <v>413</v>
      </c>
      <c r="O38" s="15" t="n">
        <v>148</v>
      </c>
      <c r="P38" s="15" t="n">
        <v>65</v>
      </c>
      <c r="Q38" s="15" t="n">
        <v>50</v>
      </c>
      <c r="R38" s="15" t="n">
        <v>24</v>
      </c>
      <c r="S38" s="15" t="n">
        <v>23</v>
      </c>
      <c r="T38" s="14" t="s">
        <v>144</v>
      </c>
    </row>
    <row r="39" customFormat="false" ht="15" hidden="false" customHeight="true" outlineLevel="0" collapsed="false">
      <c r="A39" s="14" t="s">
        <v>145</v>
      </c>
      <c r="B39" s="8" t="n">
        <v>795</v>
      </c>
      <c r="C39" s="8" t="n">
        <v>178</v>
      </c>
      <c r="D39" s="8" t="n">
        <v>268</v>
      </c>
      <c r="E39" s="8" t="n">
        <v>96</v>
      </c>
      <c r="F39" s="8" t="n">
        <v>106</v>
      </c>
      <c r="G39" s="8" t="n">
        <v>47</v>
      </c>
      <c r="H39" s="8" t="n">
        <v>448</v>
      </c>
      <c r="I39" s="8" t="n">
        <v>104</v>
      </c>
      <c r="J39" s="8" t="n">
        <v>160</v>
      </c>
      <c r="K39" s="8" t="n">
        <v>54</v>
      </c>
      <c r="L39" s="8" t="n">
        <v>65</v>
      </c>
      <c r="M39" s="8" t="n">
        <v>24</v>
      </c>
      <c r="N39" s="8" t="n">
        <v>347</v>
      </c>
      <c r="O39" s="8" t="n">
        <v>74</v>
      </c>
      <c r="P39" s="8" t="n">
        <v>108</v>
      </c>
      <c r="Q39" s="8" t="n">
        <v>42</v>
      </c>
      <c r="R39" s="8" t="n">
        <v>41</v>
      </c>
      <c r="S39" s="8" t="n">
        <v>23</v>
      </c>
      <c r="T39" s="14" t="s">
        <v>146</v>
      </c>
    </row>
    <row r="40" customFormat="false" ht="15" hidden="false" customHeight="true" outlineLevel="0" collapsed="false">
      <c r="A40" s="14" t="s">
        <v>147</v>
      </c>
      <c r="B40" s="8" t="n">
        <v>193</v>
      </c>
      <c r="C40" s="8" t="n">
        <v>83</v>
      </c>
      <c r="D40" s="8" t="n">
        <v>44</v>
      </c>
      <c r="E40" s="8" t="n">
        <v>35</v>
      </c>
      <c r="F40" s="8" t="n">
        <v>17</v>
      </c>
      <c r="G40" s="8" t="n">
        <v>14</v>
      </c>
      <c r="H40" s="8" t="n">
        <v>108</v>
      </c>
      <c r="I40" s="8" t="n">
        <v>46</v>
      </c>
      <c r="J40" s="8" t="n">
        <v>27</v>
      </c>
      <c r="K40" s="8" t="n">
        <v>21</v>
      </c>
      <c r="L40" s="8" t="n">
        <v>12</v>
      </c>
      <c r="M40" s="8" t="n">
        <v>10</v>
      </c>
      <c r="N40" s="8" t="n">
        <v>85</v>
      </c>
      <c r="O40" s="8" t="n">
        <v>37</v>
      </c>
      <c r="P40" s="8" t="n">
        <v>17</v>
      </c>
      <c r="Q40" s="8" t="n">
        <v>14</v>
      </c>
      <c r="R40" s="8" t="n">
        <v>5</v>
      </c>
      <c r="S40" s="8" t="n">
        <v>4</v>
      </c>
      <c r="T40" s="14" t="s">
        <v>124</v>
      </c>
    </row>
    <row r="41" customFormat="false" ht="15" hidden="false" customHeight="true" outlineLevel="0" collapsed="false">
      <c r="A41" s="14" t="s">
        <v>148</v>
      </c>
      <c r="B41" s="8" t="n">
        <v>304</v>
      </c>
      <c r="C41" s="8" t="n">
        <v>92</v>
      </c>
      <c r="D41" s="8" t="n">
        <v>49</v>
      </c>
      <c r="E41" s="8" t="n">
        <v>23</v>
      </c>
      <c r="F41" s="8" t="n">
        <v>15</v>
      </c>
      <c r="G41" s="8" t="n">
        <v>11</v>
      </c>
      <c r="H41" s="8" t="n">
        <v>168</v>
      </c>
      <c r="I41" s="8" t="n">
        <v>42</v>
      </c>
      <c r="J41" s="8" t="n">
        <v>33</v>
      </c>
      <c r="K41" s="8" t="n">
        <v>10</v>
      </c>
      <c r="L41" s="8" t="n">
        <v>11</v>
      </c>
      <c r="M41" s="8" t="n">
        <v>8</v>
      </c>
      <c r="N41" s="8" t="n">
        <v>136</v>
      </c>
      <c r="O41" s="8" t="n">
        <v>50</v>
      </c>
      <c r="P41" s="8" t="n">
        <v>16</v>
      </c>
      <c r="Q41" s="8" t="n">
        <v>13</v>
      </c>
      <c r="R41" s="8" t="n">
        <v>4</v>
      </c>
      <c r="S41" s="8" t="n">
        <v>3</v>
      </c>
      <c r="T41" s="14" t="s">
        <v>95</v>
      </c>
    </row>
    <row r="42" customFormat="false" ht="15" hidden="false" customHeight="true" outlineLevel="0" collapsed="false">
      <c r="A42" s="14" t="s">
        <v>85</v>
      </c>
      <c r="B42" s="15" t="n">
        <v>607</v>
      </c>
      <c r="C42" s="15" t="n">
        <v>196</v>
      </c>
      <c r="D42" s="15" t="n">
        <v>95</v>
      </c>
      <c r="E42" s="15" t="n">
        <v>50</v>
      </c>
      <c r="F42" s="15" t="n">
        <v>25</v>
      </c>
      <c r="G42" s="15" t="n">
        <v>20</v>
      </c>
      <c r="H42" s="15" t="n">
        <v>370</v>
      </c>
      <c r="I42" s="15" t="n">
        <v>127</v>
      </c>
      <c r="J42" s="15" t="n">
        <v>60</v>
      </c>
      <c r="K42" s="15" t="n">
        <v>33</v>
      </c>
      <c r="L42" s="15" t="n">
        <v>19</v>
      </c>
      <c r="M42" s="15" t="n">
        <v>15</v>
      </c>
      <c r="N42" s="15" t="n">
        <v>237</v>
      </c>
      <c r="O42" s="15" t="n">
        <v>69</v>
      </c>
      <c r="P42" s="15" t="n">
        <v>35</v>
      </c>
      <c r="Q42" s="15" t="n">
        <v>17</v>
      </c>
      <c r="R42" s="15" t="n">
        <v>6</v>
      </c>
      <c r="S42" s="15" t="n">
        <v>5</v>
      </c>
      <c r="T42" s="14" t="s">
        <v>141</v>
      </c>
    </row>
    <row r="43" customFormat="false" ht="15" hidden="false" customHeight="true" outlineLevel="0" collapsed="false">
      <c r="A43" s="14" t="s">
        <v>149</v>
      </c>
      <c r="B43" s="8" t="n">
        <v>77</v>
      </c>
      <c r="C43" s="8" t="n">
        <v>19</v>
      </c>
      <c r="D43" s="8" t="n">
        <v>11</v>
      </c>
      <c r="E43" s="8" t="n">
        <v>6</v>
      </c>
      <c r="F43" s="8" t="n">
        <v>4</v>
      </c>
      <c r="G43" s="8" t="n">
        <v>4</v>
      </c>
      <c r="H43" s="8" t="n">
        <v>43</v>
      </c>
      <c r="I43" s="8" t="n">
        <v>12</v>
      </c>
      <c r="J43" s="8" t="n">
        <v>6</v>
      </c>
      <c r="K43" s="8" t="n">
        <v>3</v>
      </c>
      <c r="L43" s="8" t="n">
        <v>1</v>
      </c>
      <c r="M43" s="8" t="n">
        <v>1</v>
      </c>
      <c r="N43" s="8" t="n">
        <v>34</v>
      </c>
      <c r="O43" s="8" t="n">
        <v>7</v>
      </c>
      <c r="P43" s="8" t="n">
        <v>5</v>
      </c>
      <c r="Q43" s="8" t="n">
        <v>3</v>
      </c>
      <c r="R43" s="8" t="n">
        <v>3</v>
      </c>
      <c r="S43" s="8" t="n">
        <v>3</v>
      </c>
      <c r="T43" s="14" t="s">
        <v>107</v>
      </c>
    </row>
    <row r="44" customFormat="false" ht="15" hidden="false" customHeight="true" outlineLevel="0" collapsed="false">
      <c r="A44" s="14" t="s">
        <v>86</v>
      </c>
      <c r="B44" s="15" t="n">
        <v>364</v>
      </c>
      <c r="C44" s="15" t="n">
        <v>97</v>
      </c>
      <c r="D44" s="15" t="n">
        <v>98</v>
      </c>
      <c r="E44" s="15" t="n">
        <v>42</v>
      </c>
      <c r="F44" s="15" t="n">
        <v>24</v>
      </c>
      <c r="G44" s="15" t="n">
        <v>15</v>
      </c>
      <c r="H44" s="15" t="n">
        <v>215</v>
      </c>
      <c r="I44" s="15" t="n">
        <v>69</v>
      </c>
      <c r="J44" s="15" t="n">
        <v>66</v>
      </c>
      <c r="K44" s="15" t="n">
        <v>31</v>
      </c>
      <c r="L44" s="15" t="n">
        <v>19</v>
      </c>
      <c r="M44" s="15" t="n">
        <v>11</v>
      </c>
      <c r="N44" s="15" t="n">
        <v>149</v>
      </c>
      <c r="O44" s="15" t="n">
        <v>28</v>
      </c>
      <c r="P44" s="15" t="n">
        <v>32</v>
      </c>
      <c r="Q44" s="15" t="n">
        <v>11</v>
      </c>
      <c r="R44" s="15" t="n">
        <v>5</v>
      </c>
      <c r="S44" s="15" t="n">
        <v>4</v>
      </c>
      <c r="T44" s="14" t="s">
        <v>150</v>
      </c>
    </row>
    <row r="45" customFormat="false" ht="15" hidden="false" customHeight="true" outlineLevel="0" collapsed="false">
      <c r="A45" s="14" t="s">
        <v>151</v>
      </c>
      <c r="B45" s="8" t="n">
        <v>74</v>
      </c>
      <c r="C45" s="8" t="n">
        <v>19</v>
      </c>
      <c r="D45" s="8" t="n">
        <v>33</v>
      </c>
      <c r="E45" s="8" t="n">
        <v>10</v>
      </c>
      <c r="F45" s="8" t="n">
        <v>16</v>
      </c>
      <c r="G45" s="8" t="n">
        <v>5</v>
      </c>
      <c r="H45" s="8" t="n">
        <v>20</v>
      </c>
      <c r="I45" s="8" t="n">
        <v>9</v>
      </c>
      <c r="J45" s="8" t="n">
        <v>6</v>
      </c>
      <c r="K45" s="8" t="n">
        <v>3</v>
      </c>
      <c r="L45" s="8" t="n">
        <v>3</v>
      </c>
      <c r="M45" s="8" t="n">
        <v>1</v>
      </c>
      <c r="N45" s="8" t="n">
        <v>54</v>
      </c>
      <c r="O45" s="8" t="n">
        <v>10</v>
      </c>
      <c r="P45" s="8" t="n">
        <v>27</v>
      </c>
      <c r="Q45" s="8" t="n">
        <v>7</v>
      </c>
      <c r="R45" s="8" t="n">
        <v>13</v>
      </c>
      <c r="S45" s="8" t="n">
        <v>4</v>
      </c>
      <c r="T45" s="14" t="s">
        <v>117</v>
      </c>
    </row>
    <row r="46" customFormat="false" ht="15" hidden="false" customHeight="true" outlineLevel="0" collapsed="false">
      <c r="A46" s="14" t="s">
        <v>152</v>
      </c>
      <c r="B46" s="8" t="n">
        <v>401</v>
      </c>
      <c r="C46" s="8" t="n">
        <v>124</v>
      </c>
      <c r="D46" s="8" t="n">
        <v>110</v>
      </c>
      <c r="E46" s="8" t="n">
        <v>58</v>
      </c>
      <c r="F46" s="8" t="n">
        <v>36</v>
      </c>
      <c r="G46" s="8" t="n">
        <v>23</v>
      </c>
      <c r="H46" s="8" t="n">
        <v>242</v>
      </c>
      <c r="I46" s="8" t="n">
        <v>80</v>
      </c>
      <c r="J46" s="8" t="n">
        <v>72</v>
      </c>
      <c r="K46" s="8" t="n">
        <v>38</v>
      </c>
      <c r="L46" s="8" t="n">
        <v>26</v>
      </c>
      <c r="M46" s="8" t="n">
        <v>17</v>
      </c>
      <c r="N46" s="8" t="n">
        <v>159</v>
      </c>
      <c r="O46" s="8" t="n">
        <v>44</v>
      </c>
      <c r="P46" s="8" t="n">
        <v>38</v>
      </c>
      <c r="Q46" s="8" t="n">
        <v>20</v>
      </c>
      <c r="R46" s="8" t="n">
        <v>10</v>
      </c>
      <c r="S46" s="8" t="n">
        <v>6</v>
      </c>
      <c r="T46" s="14" t="s">
        <v>153</v>
      </c>
    </row>
    <row r="47" customFormat="false" ht="15" hidden="false" customHeight="true" outlineLevel="0" collapsed="false">
      <c r="A47" s="14" t="s">
        <v>62</v>
      </c>
      <c r="B47" s="15" t="n">
        <v>1660</v>
      </c>
      <c r="C47" s="15" t="n">
        <v>540</v>
      </c>
      <c r="D47" s="15" t="n">
        <v>473</v>
      </c>
      <c r="E47" s="15" t="n">
        <v>230</v>
      </c>
      <c r="F47" s="15" t="n">
        <v>179</v>
      </c>
      <c r="G47" s="15" t="n">
        <v>121</v>
      </c>
      <c r="H47" s="15" t="n">
        <v>1114</v>
      </c>
      <c r="I47" s="15" t="n">
        <v>414</v>
      </c>
      <c r="J47" s="15" t="n">
        <v>381</v>
      </c>
      <c r="K47" s="15" t="n">
        <v>187</v>
      </c>
      <c r="L47" s="15" t="n">
        <v>142</v>
      </c>
      <c r="M47" s="15" t="n">
        <v>98</v>
      </c>
      <c r="N47" s="15" t="n">
        <v>546</v>
      </c>
      <c r="O47" s="15" t="n">
        <v>126</v>
      </c>
      <c r="P47" s="15" t="n">
        <v>92</v>
      </c>
      <c r="Q47" s="15" t="n">
        <v>43</v>
      </c>
      <c r="R47" s="15" t="n">
        <v>37</v>
      </c>
      <c r="S47" s="15" t="n">
        <v>23</v>
      </c>
      <c r="T47" s="14" t="s">
        <v>154</v>
      </c>
    </row>
    <row r="48" customFormat="false" ht="15" hidden="false" customHeight="true" outlineLevel="0" collapsed="false">
      <c r="A48" s="14" t="s">
        <v>155</v>
      </c>
      <c r="B48" s="8" t="n">
        <v>198</v>
      </c>
      <c r="C48" s="8" t="n">
        <v>78</v>
      </c>
      <c r="D48" s="8" t="n">
        <v>74</v>
      </c>
      <c r="E48" s="8" t="n">
        <v>33</v>
      </c>
      <c r="F48" s="8" t="n">
        <v>31</v>
      </c>
      <c r="G48" s="8" t="n">
        <v>19</v>
      </c>
      <c r="H48" s="8" t="n">
        <v>143</v>
      </c>
      <c r="I48" s="8" t="n">
        <v>49</v>
      </c>
      <c r="J48" s="8" t="n">
        <v>61</v>
      </c>
      <c r="K48" s="8" t="n">
        <v>23</v>
      </c>
      <c r="L48" s="8" t="n">
        <v>27</v>
      </c>
      <c r="M48" s="8" t="n">
        <v>15</v>
      </c>
      <c r="N48" s="8" t="n">
        <v>55</v>
      </c>
      <c r="O48" s="8" t="n">
        <v>29</v>
      </c>
      <c r="P48" s="8" t="n">
        <v>13</v>
      </c>
      <c r="Q48" s="8" t="n">
        <v>10</v>
      </c>
      <c r="R48" s="8" t="n">
        <v>4</v>
      </c>
      <c r="S48" s="8" t="n">
        <v>4</v>
      </c>
      <c r="T48" s="14" t="s">
        <v>105</v>
      </c>
    </row>
    <row r="49" customFormat="false" ht="15" hidden="false" customHeight="true" outlineLevel="0" collapsed="false">
      <c r="A49" s="14" t="s">
        <v>156</v>
      </c>
      <c r="B49" s="8" t="n">
        <v>478</v>
      </c>
      <c r="C49" s="8" t="n">
        <v>137</v>
      </c>
      <c r="D49" s="8" t="n">
        <v>105</v>
      </c>
      <c r="E49" s="8" t="n">
        <v>49</v>
      </c>
      <c r="F49" s="8" t="n">
        <v>36</v>
      </c>
      <c r="G49" s="8" t="n">
        <v>23</v>
      </c>
      <c r="H49" s="8" t="n">
        <v>237</v>
      </c>
      <c r="I49" s="8" t="n">
        <v>88</v>
      </c>
      <c r="J49" s="8" t="n">
        <v>76</v>
      </c>
      <c r="K49" s="8" t="n">
        <v>37</v>
      </c>
      <c r="L49" s="8" t="n">
        <v>23</v>
      </c>
      <c r="M49" s="8" t="n">
        <v>15</v>
      </c>
      <c r="N49" s="8" t="n">
        <v>241</v>
      </c>
      <c r="O49" s="8" t="n">
        <v>49</v>
      </c>
      <c r="P49" s="8" t="n">
        <v>29</v>
      </c>
      <c r="Q49" s="8" t="n">
        <v>12</v>
      </c>
      <c r="R49" s="8" t="n">
        <v>13</v>
      </c>
      <c r="S49" s="8" t="n">
        <v>8</v>
      </c>
      <c r="T49" s="14" t="s">
        <v>157</v>
      </c>
    </row>
    <row r="50" customFormat="false" ht="15" hidden="false" customHeight="true" outlineLevel="0" collapsed="false">
      <c r="A50" s="14" t="s">
        <v>158</v>
      </c>
      <c r="B50" s="8" t="n">
        <v>32</v>
      </c>
      <c r="C50" s="8" t="n">
        <v>17</v>
      </c>
      <c r="D50" s="8" t="n">
        <v>6</v>
      </c>
      <c r="E50" s="8" t="n">
        <v>5</v>
      </c>
      <c r="F50" s="8" t="n">
        <v>4</v>
      </c>
      <c r="G50" s="8" t="n">
        <v>3</v>
      </c>
      <c r="H50" s="8" t="n">
        <v>13</v>
      </c>
      <c r="I50" s="8" t="n">
        <v>7</v>
      </c>
      <c r="J50" s="8" t="n">
        <v>1</v>
      </c>
      <c r="K50" s="8" t="n">
        <v>1</v>
      </c>
      <c r="L50" s="8" t="n">
        <v>0</v>
      </c>
      <c r="M50" s="8" t="n">
        <v>0</v>
      </c>
      <c r="N50" s="8" t="n">
        <v>19</v>
      </c>
      <c r="O50" s="8" t="n">
        <v>10</v>
      </c>
      <c r="P50" s="8" t="n">
        <v>5</v>
      </c>
      <c r="Q50" s="8" t="n">
        <v>4</v>
      </c>
      <c r="R50" s="8" t="n">
        <v>4</v>
      </c>
      <c r="S50" s="8" t="n">
        <v>3</v>
      </c>
      <c r="T50" s="14" t="s">
        <v>107</v>
      </c>
    </row>
    <row r="51" customFormat="false" ht="15" hidden="false" customHeight="true" outlineLevel="0" collapsed="false">
      <c r="A51" s="14" t="s">
        <v>159</v>
      </c>
      <c r="B51" s="8" t="n">
        <v>380</v>
      </c>
      <c r="C51" s="8" t="n">
        <v>108</v>
      </c>
      <c r="D51" s="8" t="n">
        <v>70</v>
      </c>
      <c r="E51" s="8" t="n">
        <v>42</v>
      </c>
      <c r="F51" s="8" t="n">
        <v>19</v>
      </c>
      <c r="G51" s="8" t="n">
        <v>16</v>
      </c>
      <c r="H51" s="8" t="n">
        <v>146</v>
      </c>
      <c r="I51" s="8" t="n">
        <v>54</v>
      </c>
      <c r="J51" s="8" t="n">
        <v>32</v>
      </c>
      <c r="K51" s="8" t="n">
        <v>21</v>
      </c>
      <c r="L51" s="8" t="n">
        <v>11</v>
      </c>
      <c r="M51" s="8" t="n">
        <v>9</v>
      </c>
      <c r="N51" s="8" t="n">
        <v>234</v>
      </c>
      <c r="O51" s="8" t="n">
        <v>54</v>
      </c>
      <c r="P51" s="8" t="n">
        <v>38</v>
      </c>
      <c r="Q51" s="8" t="n">
        <v>21</v>
      </c>
      <c r="R51" s="8" t="n">
        <v>8</v>
      </c>
      <c r="S51" s="8" t="n">
        <v>7</v>
      </c>
      <c r="T51" s="14" t="s">
        <v>95</v>
      </c>
    </row>
    <row r="52" customFormat="false" ht="15" hidden="false" customHeight="true" outlineLevel="0" collapsed="false">
      <c r="A52" s="14" t="s">
        <v>160</v>
      </c>
      <c r="B52" s="8" t="n">
        <v>363</v>
      </c>
      <c r="C52" s="8" t="n">
        <v>83</v>
      </c>
      <c r="D52" s="8" t="n">
        <v>107</v>
      </c>
      <c r="E52" s="8" t="n">
        <v>38</v>
      </c>
      <c r="F52" s="8" t="n">
        <v>33</v>
      </c>
      <c r="G52" s="8" t="n">
        <v>23</v>
      </c>
      <c r="H52" s="8" t="n">
        <v>170</v>
      </c>
      <c r="I52" s="8" t="n">
        <v>43</v>
      </c>
      <c r="J52" s="8" t="n">
        <v>67</v>
      </c>
      <c r="K52" s="8" t="n">
        <v>25</v>
      </c>
      <c r="L52" s="8" t="n">
        <v>23</v>
      </c>
      <c r="M52" s="8" t="n">
        <v>14</v>
      </c>
      <c r="N52" s="8" t="n">
        <v>193</v>
      </c>
      <c r="O52" s="8" t="n">
        <v>40</v>
      </c>
      <c r="P52" s="8" t="n">
        <v>40</v>
      </c>
      <c r="Q52" s="8" t="n">
        <v>13</v>
      </c>
      <c r="R52" s="8" t="n">
        <v>10</v>
      </c>
      <c r="S52" s="8" t="n">
        <v>9</v>
      </c>
      <c r="T52" s="14" t="s">
        <v>133</v>
      </c>
    </row>
    <row r="53" customFormat="false" ht="15" hidden="false" customHeight="true" outlineLevel="0" collapsed="false">
      <c r="A53" s="14" t="s">
        <v>161</v>
      </c>
      <c r="B53" s="8" t="n">
        <v>107</v>
      </c>
      <c r="C53" s="8" t="n">
        <v>41</v>
      </c>
      <c r="D53" s="8" t="n">
        <v>33</v>
      </c>
      <c r="E53" s="8" t="n">
        <v>23</v>
      </c>
      <c r="F53" s="8" t="n">
        <v>12</v>
      </c>
      <c r="G53" s="8" t="n">
        <v>11</v>
      </c>
      <c r="H53" s="8" t="n">
        <v>38</v>
      </c>
      <c r="I53" s="8" t="n">
        <v>19</v>
      </c>
      <c r="J53" s="8" t="n">
        <v>19</v>
      </c>
      <c r="K53" s="8" t="n">
        <v>14</v>
      </c>
      <c r="L53" s="8" t="n">
        <v>10</v>
      </c>
      <c r="M53" s="8" t="n">
        <v>9</v>
      </c>
      <c r="N53" s="8" t="n">
        <v>69</v>
      </c>
      <c r="O53" s="8" t="n">
        <v>22</v>
      </c>
      <c r="P53" s="8" t="n">
        <v>14</v>
      </c>
      <c r="Q53" s="8" t="n">
        <v>9</v>
      </c>
      <c r="R53" s="8" t="n">
        <v>2</v>
      </c>
      <c r="S53" s="8" t="n">
        <v>2</v>
      </c>
      <c r="T53" s="14" t="s">
        <v>109</v>
      </c>
    </row>
    <row r="54" customFormat="false" ht="15" hidden="false" customHeight="true" outlineLevel="0" collapsed="false">
      <c r="A54" s="14" t="s">
        <v>162</v>
      </c>
      <c r="B54" s="8" t="n">
        <v>39</v>
      </c>
      <c r="C54" s="8" t="n">
        <v>23</v>
      </c>
      <c r="D54" s="8" t="n">
        <v>7</v>
      </c>
      <c r="E54" s="8" t="n">
        <v>5</v>
      </c>
      <c r="F54" s="8" t="n">
        <v>0</v>
      </c>
      <c r="G54" s="8" t="n">
        <v>0</v>
      </c>
      <c r="H54" s="8" t="n">
        <v>17</v>
      </c>
      <c r="I54" s="8" t="n">
        <v>10</v>
      </c>
      <c r="J54" s="8" t="n">
        <v>5</v>
      </c>
      <c r="K54" s="8" t="n">
        <v>3</v>
      </c>
      <c r="L54" s="8" t="n">
        <v>0</v>
      </c>
      <c r="M54" s="8" t="n">
        <v>0</v>
      </c>
      <c r="N54" s="8" t="n">
        <v>22</v>
      </c>
      <c r="O54" s="8" t="n">
        <v>13</v>
      </c>
      <c r="P54" s="8" t="n">
        <v>2</v>
      </c>
      <c r="Q54" s="8" t="n">
        <v>2</v>
      </c>
      <c r="R54" s="8" t="n">
        <v>0</v>
      </c>
      <c r="S54" s="8" t="n">
        <v>0</v>
      </c>
      <c r="T54" s="14" t="s">
        <v>117</v>
      </c>
    </row>
    <row r="55" customFormat="false" ht="15" hidden="false" customHeight="true" outlineLevel="0" collapsed="false">
      <c r="A55" s="17" t="s">
        <v>74</v>
      </c>
      <c r="B55" s="18" t="n">
        <f aca="false">SUM(B4:B54)</f>
        <v>18405</v>
      </c>
      <c r="C55" s="18" t="n">
        <f aca="false">SUM(C4:C54)</f>
        <v>5862</v>
      </c>
      <c r="D55" s="18" t="n">
        <f aca="false">SUM(D4:D54)</f>
        <v>4401</v>
      </c>
      <c r="E55" s="18" t="n">
        <f aca="false">SUM(E4:E54)</f>
        <v>2188</v>
      </c>
      <c r="F55" s="18" t="n">
        <f aca="false">SUM(F4:F54)</f>
        <v>1476</v>
      </c>
      <c r="G55" s="18" t="n">
        <f aca="false">SUM(G4:G54)</f>
        <v>1005</v>
      </c>
      <c r="H55" s="18" t="n">
        <f aca="false">SUM(H4:H54)</f>
        <v>10881</v>
      </c>
      <c r="I55" s="18" t="n">
        <f aca="false">SUM(I4:I54)</f>
        <v>3654</v>
      </c>
      <c r="J55" s="18" t="n">
        <f aca="false">SUM(J4:J54)</f>
        <v>2989</v>
      </c>
      <c r="K55" s="18" t="n">
        <f aca="false">SUM(K4:K54)</f>
        <v>1426</v>
      </c>
      <c r="L55" s="18" t="n">
        <f aca="false">SUM(L4:L54)</f>
        <v>1037</v>
      </c>
      <c r="M55" s="18" t="n">
        <f aca="false">SUM(M4:M54)</f>
        <v>679</v>
      </c>
      <c r="N55" s="18" t="n">
        <f aca="false">SUM(N4:N54)</f>
        <v>7524</v>
      </c>
      <c r="O55" s="18" t="n">
        <f aca="false">SUM(O4:O54)</f>
        <v>2208</v>
      </c>
      <c r="P55" s="18" t="n">
        <f aca="false">SUM(P4:P54)</f>
        <v>1412</v>
      </c>
      <c r="Q55" s="18" t="n">
        <f aca="false">SUM(Q4:Q54)</f>
        <v>762</v>
      </c>
      <c r="R55" s="18" t="n">
        <f aca="false">SUM(R4:R54)</f>
        <v>439</v>
      </c>
      <c r="S55" s="18" t="n">
        <f aca="false">SUM(S4:S54)</f>
        <v>326</v>
      </c>
    </row>
  </sheetData>
  <mergeCells count="4">
    <mergeCell ref="A1:T1"/>
    <mergeCell ref="B2:G2"/>
    <mergeCell ref="H2:M2"/>
    <mergeCell ref="N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R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5" min="5" style="1" width="7"/>
    <col collapsed="false" customWidth="true" hidden="false" outlineLevel="0" max="6" min="6" style="1" width="9"/>
    <col collapsed="false" customWidth="true" hidden="false" outlineLevel="0" max="7" min="7" style="1" width="10"/>
    <col collapsed="false" customWidth="true" hidden="false" outlineLevel="0" max="9" min="8" style="1" width="12"/>
    <col collapsed="false" customWidth="true" hidden="false" outlineLevel="0" max="10" min="10" style="1" width="7"/>
    <col collapsed="false" customWidth="true" hidden="false" outlineLevel="0" max="15" min="11" style="1" width="10"/>
    <col collapsed="false" customWidth="true" hidden="false" outlineLevel="0" max="16" min="16" style="1" width="9"/>
    <col collapsed="false" customWidth="true" hidden="false" outlineLevel="0" max="17" min="17" style="1" width="8"/>
    <col collapsed="false" customWidth="true" hidden="false" outlineLevel="0" max="18" min="18" style="1" width="7"/>
  </cols>
  <sheetData>
    <row r="1" customFormat="false" ht="63.75" hidden="false" customHeight="true" outlineLevel="0" collapsed="false">
      <c r="E1" s="9" t="s">
        <v>163</v>
      </c>
      <c r="F1" s="9"/>
      <c r="G1" s="9"/>
      <c r="H1" s="9"/>
      <c r="I1" s="9"/>
      <c r="J1" s="9"/>
      <c r="K1" s="9"/>
      <c r="L1" s="9"/>
      <c r="M1" s="9"/>
      <c r="N1" s="9"/>
      <c r="O1" s="9"/>
      <c r="P1" s="9"/>
      <c r="Q1" s="9"/>
      <c r="R1" s="9"/>
    </row>
    <row r="2" customFormat="false" ht="15" hidden="false" customHeight="true" outlineLevel="0" collapsed="false">
      <c r="J2" s="10" t="s">
        <v>164</v>
      </c>
      <c r="K2" s="19" t="s">
        <v>165</v>
      </c>
      <c r="L2" s="19" t="s">
        <v>166</v>
      </c>
      <c r="N2" s="19" t="s">
        <v>167</v>
      </c>
      <c r="O2" s="19" t="s">
        <v>167</v>
      </c>
      <c r="P2" s="19" t="s">
        <v>168</v>
      </c>
    </row>
    <row r="3" customFormat="false" ht="34.5" hidden="false" customHeight="true" outlineLevel="0" collapsed="false">
      <c r="E3" s="20" t="s">
        <v>76</v>
      </c>
      <c r="F3" s="20" t="s">
        <v>91</v>
      </c>
      <c r="G3" s="20" t="s">
        <v>92</v>
      </c>
      <c r="H3" s="20" t="s">
        <v>169</v>
      </c>
      <c r="I3" s="20" t="s">
        <v>170</v>
      </c>
      <c r="J3" s="20" t="s">
        <v>171</v>
      </c>
      <c r="K3" s="20" t="s">
        <v>172</v>
      </c>
      <c r="L3" s="20" t="s">
        <v>173</v>
      </c>
      <c r="M3" s="20" t="s">
        <v>174</v>
      </c>
      <c r="N3" s="20" t="s">
        <v>175</v>
      </c>
      <c r="O3" s="20" t="s">
        <v>176</v>
      </c>
      <c r="P3" s="20" t="s">
        <v>177</v>
      </c>
      <c r="Q3" s="20" t="s">
        <v>178</v>
      </c>
      <c r="R3" s="20" t="s">
        <v>179</v>
      </c>
    </row>
    <row r="4" customFormat="false" ht="15" hidden="false" customHeight="true" outlineLevel="0" collapsed="false">
      <c r="E4" s="7" t="s">
        <v>102</v>
      </c>
      <c r="F4" s="8" t="n">
        <v>1499</v>
      </c>
      <c r="G4" s="8" t="n">
        <v>648</v>
      </c>
      <c r="H4" s="8" t="n">
        <v>813</v>
      </c>
      <c r="I4" s="8" t="n">
        <v>254</v>
      </c>
      <c r="J4" s="21" t="n">
        <v>1</v>
      </c>
      <c r="K4" s="8" t="n">
        <f aca="false">IF(J4=0,"unstaffed",ROUND(F4/J4,0))</f>
        <v>1499</v>
      </c>
      <c r="L4" s="22" t="n">
        <f aca="false">IF(J4=0,"unstaffed",ROUND(G4/J4,1))</f>
        <v>648</v>
      </c>
      <c r="M4" s="23" t="n">
        <f aca="false">H4/F4</f>
        <v>0.542361574382922</v>
      </c>
      <c r="N4" s="24" t="n">
        <v>3698257</v>
      </c>
      <c r="O4" s="25" t="n">
        <v>97969</v>
      </c>
      <c r="P4" s="26" t="n">
        <v>34.9</v>
      </c>
      <c r="Q4" s="27" t="n">
        <f aca="false">IF(J4=0,"unstaffed",ROUND((20*100*(K4-MIN($K$4:$K$54))/(MAX($K$4:$K$54)-MIN($K$4:$K$54))+60*100*(L4-MIN($L$4:$L$54))/(MAX($L$4:$L$54)-MIN($L$4:$L$54))+10*100*(N4-MIN($N$4:$N$54))/(MAX($N$4:$N$54)-MIN($N$4:$N$54))+10*100*(O4-MIN($O$4:$O$54))/(MAX($O$4:$O$54)-MIN($O$4:$O$54)))/100,1))</f>
        <v>96.5</v>
      </c>
      <c r="R4" s="7" t="n">
        <f aca="false">IF(J4=0,"n/a",RANK(Q4,$Q$4:$Q$54))</f>
        <v>1</v>
      </c>
    </row>
    <row r="5" customFormat="false" ht="15" hidden="false" customHeight="true" outlineLevel="0" collapsed="false">
      <c r="E5" s="7" t="s">
        <v>62</v>
      </c>
      <c r="F5" s="8" t="n">
        <v>1660</v>
      </c>
      <c r="G5" s="8" t="n">
        <v>540</v>
      </c>
      <c r="H5" s="8" t="n">
        <v>546</v>
      </c>
      <c r="I5" s="8" t="n">
        <v>126</v>
      </c>
      <c r="J5" s="21" t="n">
        <v>1</v>
      </c>
      <c r="K5" s="8" t="n">
        <f aca="false">IF(J5=0,"unstaffed",ROUND(F5/J5,0))</f>
        <v>1660</v>
      </c>
      <c r="L5" s="22" t="n">
        <f aca="false">IF(J5=0,"unstaffed",ROUND(G5/J5,1))</f>
        <v>540</v>
      </c>
      <c r="M5" s="23" t="n">
        <f aca="false">H5/F5</f>
        <v>0.328915662650602</v>
      </c>
      <c r="N5" s="24" t="n">
        <v>3090173</v>
      </c>
      <c r="O5" s="25" t="n">
        <v>78473</v>
      </c>
      <c r="P5" s="26" t="n">
        <v>31.7</v>
      </c>
      <c r="Q5" s="27" t="n">
        <f aca="false">IF(J5=0,"unstaffed",ROUND((20*100*(K5-MIN($K$4:$K$54))/(MAX($K$4:$K$54)-MIN($K$4:$K$54))+60*100*(L5-MIN($L$4:$L$54))/(MAX($L$4:$L$54)-MIN($L$4:$L$54))+10*100*(N5-MIN($N$4:$N$54))/(MAX($N$4:$N$54)-MIN($N$4:$N$54))+10*100*(O5-MIN($O$4:$O$54))/(MAX($O$4:$O$54)-MIN($O$4:$O$54)))/100,1))</f>
        <v>82.7</v>
      </c>
      <c r="R5" s="7" t="n">
        <f aca="false">IF(J5=0,"n/a",RANK(Q5,$Q$4:$Q$54))</f>
        <v>2</v>
      </c>
    </row>
    <row r="6" customFormat="false" ht="15" hidden="false" customHeight="true" outlineLevel="0" collapsed="false">
      <c r="E6" s="7" t="s">
        <v>84</v>
      </c>
      <c r="F6" s="8" t="n">
        <v>1030</v>
      </c>
      <c r="G6" s="8" t="n">
        <v>404</v>
      </c>
      <c r="H6" s="8" t="n">
        <v>413</v>
      </c>
      <c r="I6" s="8" t="n">
        <v>148</v>
      </c>
      <c r="J6" s="21" t="n">
        <v>1</v>
      </c>
      <c r="K6" s="8" t="n">
        <f aca="false">IF(J6=0,"unstaffed",ROUND(F6/J6,0))</f>
        <v>1030</v>
      </c>
      <c r="L6" s="22" t="n">
        <f aca="false">IF(J6=0,"unstaffed",ROUND(G6/J6,1))</f>
        <v>404</v>
      </c>
      <c r="M6" s="23" t="n">
        <f aca="false">H6/F6</f>
        <v>0.400970873786408</v>
      </c>
      <c r="N6" s="24" t="n">
        <v>1726412</v>
      </c>
      <c r="O6" s="25" t="n">
        <v>89542</v>
      </c>
      <c r="P6" s="26" t="n">
        <v>38.3</v>
      </c>
      <c r="Q6" s="27" t="n">
        <f aca="false">IF(J6=0,"unstaffed",ROUND((20*100*(K6-MIN($K$4:$K$54))/(MAX($K$4:$K$54)-MIN($K$4:$K$54))+60*100*(L6-MIN($L$4:$L$54))/(MAX($L$4:$L$54)-MIN($L$4:$L$54))+10*100*(N6-MIN($N$4:$N$54))/(MAX($N$4:$N$54)-MIN($N$4:$N$54))+10*100*(O6-MIN($O$4:$O$54))/(MAX($O$4:$O$54)-MIN($O$4:$O$54)))/100,1))</f>
        <v>60.6</v>
      </c>
      <c r="R6" s="7" t="n">
        <f aca="false">IF(J6=0,"n/a",RANK(Q6,$Q$4:$Q$54))</f>
        <v>3</v>
      </c>
    </row>
    <row r="7" customFormat="false" ht="15" hidden="false" customHeight="true" outlineLevel="0" collapsed="false">
      <c r="E7" s="7" t="s">
        <v>111</v>
      </c>
      <c r="F7" s="8" t="n">
        <v>1107</v>
      </c>
      <c r="G7" s="8" t="n">
        <v>273</v>
      </c>
      <c r="H7" s="8" t="n">
        <v>278</v>
      </c>
      <c r="I7" s="8" t="n">
        <v>120</v>
      </c>
      <c r="J7" s="21" t="n">
        <v>1</v>
      </c>
      <c r="K7" s="8" t="n">
        <f aca="false">IF(J7=0,"unstaffed",ROUND(F7/J7,0))</f>
        <v>1107</v>
      </c>
      <c r="L7" s="22" t="n">
        <f aca="false">IF(J7=0,"unstaffed",ROUND(G7/J7,1))</f>
        <v>273</v>
      </c>
      <c r="M7" s="23" t="n">
        <f aca="false">H7/F7</f>
        <v>0.251129177958446</v>
      </c>
      <c r="N7" s="24" t="n">
        <v>1780020</v>
      </c>
      <c r="O7" s="25" t="n">
        <v>71602</v>
      </c>
      <c r="P7" s="26" t="n">
        <v>32.2</v>
      </c>
      <c r="Q7" s="27" t="n">
        <f aca="false">IF(J7=0,"unstaffed",ROUND((20*100*(K7-MIN($K$4:$K$54))/(MAX($K$4:$K$54)-MIN($K$4:$K$54))+60*100*(L7-MIN($L$4:$L$54))/(MAX($L$4:$L$54)-MIN($L$4:$L$54))+10*100*(N7-MIN($N$4:$N$54))/(MAX($N$4:$N$54)-MIN($N$4:$N$54))+10*100*(O7-MIN($O$4:$O$54))/(MAX($O$4:$O$54)-MIN($O$4:$O$54)))/100,1))</f>
        <v>45.7</v>
      </c>
      <c r="R7" s="7" t="n">
        <f aca="false">IF(J7=0,"n/a",RANK(Q7,$Q$4:$Q$54))</f>
        <v>4</v>
      </c>
    </row>
    <row r="8" customFormat="false" ht="15" hidden="false" customHeight="true" outlineLevel="0" collapsed="false">
      <c r="E8" s="7" t="s">
        <v>119</v>
      </c>
      <c r="F8" s="8" t="n">
        <v>718</v>
      </c>
      <c r="G8" s="8" t="n">
        <v>241</v>
      </c>
      <c r="H8" s="8" t="n">
        <v>348</v>
      </c>
      <c r="I8" s="8" t="n">
        <v>81</v>
      </c>
      <c r="J8" s="21" t="n">
        <v>1</v>
      </c>
      <c r="K8" s="8" t="n">
        <f aca="false">IF(J8=0,"unstaffed",ROUND(F8/J8,0))</f>
        <v>718</v>
      </c>
      <c r="L8" s="22" t="n">
        <f aca="false">IF(J8=0,"unstaffed",ROUND(G8/J8,1))</f>
        <v>241</v>
      </c>
      <c r="M8" s="23" t="n">
        <f aca="false">H8/F8</f>
        <v>0.484679665738162</v>
      </c>
      <c r="N8" s="24" t="n">
        <v>1191812</v>
      </c>
      <c r="O8" s="25" t="n">
        <v>84033</v>
      </c>
      <c r="P8" s="26" t="n">
        <v>36.3</v>
      </c>
      <c r="Q8" s="27" t="n">
        <f aca="false">IF(J8=0,"unstaffed",ROUND((20*100*(K8-MIN($K$4:$K$54))/(MAX($K$4:$K$54)-MIN($K$4:$K$54))+60*100*(L8-MIN($L$4:$L$54))/(MAX($L$4:$L$54)-MIN($L$4:$L$54))+10*100*(N8-MIN($N$4:$N$54))/(MAX($N$4:$N$54)-MIN($N$4:$N$54))+10*100*(O8-MIN($O$4:$O$54))/(MAX($O$4:$O$54)-MIN($O$4:$O$54)))/100,1))</f>
        <v>38.8</v>
      </c>
      <c r="R8" s="7" t="n">
        <f aca="false">IF(J8=0,"n/a",RANK(Q8,$Q$4:$Q$54))</f>
        <v>5</v>
      </c>
    </row>
    <row r="9" customFormat="false" ht="15" hidden="false" customHeight="true" outlineLevel="0" collapsed="false">
      <c r="E9" s="7" t="s">
        <v>113</v>
      </c>
      <c r="F9" s="8" t="n">
        <v>683</v>
      </c>
      <c r="G9" s="8" t="n">
        <v>220</v>
      </c>
      <c r="H9" s="8" t="n">
        <v>122</v>
      </c>
      <c r="I9" s="8" t="n">
        <v>49</v>
      </c>
      <c r="J9" s="21" t="n">
        <v>1</v>
      </c>
      <c r="K9" s="8" t="n">
        <f aca="false">IF(J9=0,"unstaffed",ROUND(F9/J9,0))</f>
        <v>683</v>
      </c>
      <c r="L9" s="22" t="n">
        <f aca="false">IF(J9=0,"unstaffed",ROUND(G9/J9,1))</f>
        <v>220</v>
      </c>
      <c r="M9" s="23" t="n">
        <f aca="false">H9/F9</f>
        <v>0.178623718887262</v>
      </c>
      <c r="N9" s="24" t="n">
        <v>1070611</v>
      </c>
      <c r="O9" s="25" t="n">
        <v>75694</v>
      </c>
      <c r="P9" s="26" t="n">
        <v>33.4</v>
      </c>
      <c r="Q9" s="27" t="n">
        <f aca="false">IF(J9=0,"unstaffed",ROUND((20*100*(K9-MIN($K$4:$K$54))/(MAX($K$4:$K$54)-MIN($K$4:$K$54))+60*100*(L9-MIN($L$4:$L$54))/(MAX($L$4:$L$54)-MIN($L$4:$L$54))+10*100*(N9-MIN($N$4:$N$54))/(MAX($N$4:$N$54)-MIN($N$4:$N$54))+10*100*(O9-MIN($O$4:$O$54))/(MAX($O$4:$O$54)-MIN($O$4:$O$54)))/100,1))</f>
        <v>34.4</v>
      </c>
      <c r="R9" s="7" t="n">
        <f aca="false">IF(J9=0,"n/a",RANK(Q9,$Q$4:$Q$54))</f>
        <v>6</v>
      </c>
    </row>
    <row r="10" customFormat="false" ht="15" hidden="false" customHeight="true" outlineLevel="0" collapsed="false">
      <c r="E10" s="7" t="s">
        <v>68</v>
      </c>
      <c r="F10" s="8" t="n">
        <v>746</v>
      </c>
      <c r="G10" s="8" t="n">
        <v>207</v>
      </c>
      <c r="H10" s="8" t="n">
        <v>430</v>
      </c>
      <c r="I10" s="8" t="n">
        <v>95</v>
      </c>
      <c r="J10" s="21" t="n">
        <v>1</v>
      </c>
      <c r="K10" s="8" t="n">
        <f aca="false">IF(J10=0,"unstaffed",ROUND(F10/J10,0))</f>
        <v>746</v>
      </c>
      <c r="L10" s="22" t="n">
        <f aca="false">IF(J10=0,"unstaffed",ROUND(G10/J10,1))</f>
        <v>207</v>
      </c>
      <c r="M10" s="23" t="n">
        <f aca="false">H10/F10</f>
        <v>0.576407506702413</v>
      </c>
      <c r="N10" s="24" t="n">
        <v>910821</v>
      </c>
      <c r="O10" s="25" t="n">
        <v>72965</v>
      </c>
      <c r="P10" s="26" t="n">
        <v>31.3</v>
      </c>
      <c r="Q10" s="27" t="n">
        <f aca="false">IF(J10=0,"unstaffed",ROUND((20*100*(K10-MIN($K$4:$K$54))/(MAX($K$4:$K$54)-MIN($K$4:$K$54))+60*100*(L10-MIN($L$4:$L$54))/(MAX($L$4:$L$54)-MIN($L$4:$L$54))+10*100*(N10-MIN($N$4:$N$54))/(MAX($N$4:$N$54)-MIN($N$4:$N$54))+10*100*(O10-MIN($O$4:$O$54))/(MAX($O$4:$O$54)-MIN($O$4:$O$54)))/100,1))</f>
        <v>33</v>
      </c>
      <c r="R10" s="7" t="n">
        <f aca="false">IF(J10=0,"n/a",RANK(Q10,$Q$4:$Q$54))</f>
        <v>7</v>
      </c>
    </row>
    <row r="11" customFormat="false" ht="15" hidden="false" customHeight="true" outlineLevel="0" collapsed="false">
      <c r="E11" s="7" t="s">
        <v>83</v>
      </c>
      <c r="F11" s="8" t="n">
        <v>779</v>
      </c>
      <c r="G11" s="8" t="n">
        <v>181</v>
      </c>
      <c r="H11" s="8" t="n">
        <v>306</v>
      </c>
      <c r="I11" s="8" t="n">
        <v>71</v>
      </c>
      <c r="J11" s="21" t="n">
        <v>1</v>
      </c>
      <c r="K11" s="8" t="n">
        <f aca="false">IF(J11=0,"unstaffed",ROUND(F11/J11,0))</f>
        <v>779</v>
      </c>
      <c r="L11" s="22" t="n">
        <f aca="false">IF(J11=0,"unstaffed",ROUND(G11/J11,1))</f>
        <v>181</v>
      </c>
      <c r="M11" s="23" t="n">
        <f aca="false">H11/F11</f>
        <v>0.392811296534018</v>
      </c>
      <c r="N11" s="24" t="n">
        <v>975468</v>
      </c>
      <c r="O11" s="25" t="n">
        <v>70436</v>
      </c>
      <c r="P11" s="26" t="n">
        <v>34</v>
      </c>
      <c r="Q11" s="27" t="n">
        <f aca="false">IF(J11=0,"unstaffed",ROUND((20*100*(K11-MIN($K$4:$K$54))/(MAX($K$4:$K$54)-MIN($K$4:$K$54))+60*100*(L11-MIN($L$4:$L$54))/(MAX($L$4:$L$54)-MIN($L$4:$L$54))+10*100*(N11-MIN($N$4:$N$54))/(MAX($N$4:$N$54)-MIN($N$4:$N$54))+10*100*(O11-MIN($O$4:$O$54))/(MAX($O$4:$O$54)-MIN($O$4:$O$54)))/100,1))</f>
        <v>30.6</v>
      </c>
      <c r="R11" s="7" t="n">
        <f aca="false">IF(J11=0,"n/a",RANK(Q11,$Q$4:$Q$54))</f>
        <v>10</v>
      </c>
    </row>
    <row r="12" customFormat="false" ht="15" hidden="false" customHeight="true" outlineLevel="0" collapsed="false">
      <c r="E12" s="7" t="s">
        <v>145</v>
      </c>
      <c r="F12" s="8" t="n">
        <v>795</v>
      </c>
      <c r="G12" s="8" t="n">
        <v>178</v>
      </c>
      <c r="H12" s="8" t="n">
        <v>347</v>
      </c>
      <c r="I12" s="8" t="n">
        <v>74</v>
      </c>
      <c r="J12" s="21" t="n">
        <v>1</v>
      </c>
      <c r="K12" s="8" t="n">
        <f aca="false">IF(J12=0,"unstaffed",ROUND(F12/J12,0))</f>
        <v>795</v>
      </c>
      <c r="L12" s="22" t="n">
        <f aca="false">IF(J12=0,"unstaffed",ROUND(G12/J12,1))</f>
        <v>178</v>
      </c>
      <c r="M12" s="23" t="n">
        <f aca="false">H12/F12</f>
        <v>0.436477987421384</v>
      </c>
      <c r="N12" s="24" t="n">
        <v>1089150</v>
      </c>
      <c r="O12" s="25" t="n">
        <v>71229</v>
      </c>
      <c r="P12" s="26" t="n">
        <v>30.4</v>
      </c>
      <c r="Q12" s="27" t="n">
        <f aca="false">IF(J12=0,"unstaffed",ROUND((20*100*(K12-MIN($K$4:$K$54))/(MAX($K$4:$K$54)-MIN($K$4:$K$54))+60*100*(L12-MIN($L$4:$L$54))/(MAX($L$4:$L$54)-MIN($L$4:$L$54))+10*100*(N12-MIN($N$4:$N$54))/(MAX($N$4:$N$54)-MIN($N$4:$N$54))+10*100*(O12-MIN($O$4:$O$54))/(MAX($O$4:$O$54)-MIN($O$4:$O$54)))/100,1))</f>
        <v>31</v>
      </c>
      <c r="R12" s="7" t="n">
        <f aca="false">IF(J12=0,"n/a",RANK(Q12,$Q$4:$Q$54))</f>
        <v>9</v>
      </c>
    </row>
    <row r="13" customFormat="false" ht="15" hidden="false" customHeight="true" outlineLevel="0" collapsed="false">
      <c r="E13" s="7" t="s">
        <v>85</v>
      </c>
      <c r="F13" s="8" t="n">
        <v>607</v>
      </c>
      <c r="G13" s="8" t="n">
        <v>196</v>
      </c>
      <c r="H13" s="8" t="n">
        <v>237</v>
      </c>
      <c r="I13" s="8" t="n">
        <v>69</v>
      </c>
      <c r="J13" s="21" t="n">
        <v>1</v>
      </c>
      <c r="K13" s="8" t="n">
        <f aca="false">IF(J13=0,"unstaffed",ROUND(F13/J13,0))</f>
        <v>607</v>
      </c>
      <c r="L13" s="22" t="n">
        <f aca="false">IF(J13=0,"unstaffed",ROUND(G13/J13,1))</f>
        <v>196</v>
      </c>
      <c r="M13" s="23" t="n">
        <f aca="false">H13/F13</f>
        <v>0.390444810543657</v>
      </c>
      <c r="N13" s="24" t="n">
        <v>1145452</v>
      </c>
      <c r="O13" s="25" t="n">
        <v>78426</v>
      </c>
      <c r="P13" s="26" t="n">
        <v>33.7</v>
      </c>
      <c r="Q13" s="27" t="n">
        <f aca="false">IF(J13=0,"unstaffed",ROUND((20*100*(K13-MIN($K$4:$K$54))/(MAX($K$4:$K$54)-MIN($K$4:$K$54))+60*100*(L13-MIN($L$4:$L$54))/(MAX($L$4:$L$54)-MIN($L$4:$L$54))+10*100*(N13-MIN($N$4:$N$54))/(MAX($N$4:$N$54)-MIN($N$4:$N$54))+10*100*(O13-MIN($O$4:$O$54))/(MAX($O$4:$O$54)-MIN($O$4:$O$54)))/100,1))</f>
        <v>31.9</v>
      </c>
      <c r="R13" s="7" t="n">
        <f aca="false">IF(J13=0,"n/a",RANK(Q13,$Q$4:$Q$54))</f>
        <v>8</v>
      </c>
    </row>
    <row r="14" customFormat="false" ht="15" hidden="false" customHeight="true" outlineLevel="0" collapsed="false">
      <c r="E14" s="7" t="s">
        <v>156</v>
      </c>
      <c r="F14" s="8" t="n">
        <v>478</v>
      </c>
      <c r="G14" s="8" t="n">
        <v>137</v>
      </c>
      <c r="H14" s="8" t="n">
        <v>241</v>
      </c>
      <c r="I14" s="8" t="n">
        <v>49</v>
      </c>
      <c r="J14" s="21" t="n">
        <v>1</v>
      </c>
      <c r="K14" s="8" t="n">
        <f aca="false">IF(J14=0,"unstaffed",ROUND(F14/J14,0))</f>
        <v>478</v>
      </c>
      <c r="L14" s="22" t="n">
        <f aca="false">IF(J14=0,"unstaffed",ROUND(G14/J14,1))</f>
        <v>137</v>
      </c>
      <c r="M14" s="23" t="n">
        <f aca="false">H14/F14</f>
        <v>0.50418410041841</v>
      </c>
      <c r="N14" s="24" t="n">
        <v>794462</v>
      </c>
      <c r="O14" s="25" t="n">
        <v>97828</v>
      </c>
      <c r="P14" s="26" t="n">
        <v>41.1</v>
      </c>
      <c r="Q14" s="27" t="n">
        <f aca="false">IF(J14=0,"unstaffed",ROUND((20*100*(K14-MIN($K$4:$K$54))/(MAX($K$4:$K$54)-MIN($K$4:$K$54))+60*100*(L14-MIN($L$4:$L$54))/(MAX($L$4:$L$54)-MIN($L$4:$L$54))+10*100*(N14-MIN($N$4:$N$54))/(MAX($N$4:$N$54)-MIN($N$4:$N$54))+10*100*(O14-MIN($O$4:$O$54))/(MAX($O$4:$O$54)-MIN($O$4:$O$54)))/100,1))</f>
        <v>27.6</v>
      </c>
      <c r="R14" s="7" t="n">
        <f aca="false">IF(J14=0,"n/a",RANK(Q14,$Q$4:$Q$54))</f>
        <v>12</v>
      </c>
    </row>
    <row r="15" customFormat="false" ht="15" hidden="false" customHeight="true" outlineLevel="0" collapsed="false">
      <c r="E15" s="7" t="s">
        <v>71</v>
      </c>
      <c r="F15" s="8" t="n">
        <v>428</v>
      </c>
      <c r="G15" s="8" t="n">
        <v>142</v>
      </c>
      <c r="H15" s="8" t="n">
        <v>195</v>
      </c>
      <c r="I15" s="8" t="n">
        <v>44</v>
      </c>
      <c r="J15" s="21" t="n">
        <v>1</v>
      </c>
      <c r="K15" s="8" t="n">
        <f aca="false">IF(J15=0,"unstaffed",ROUND(F15/J15,0))</f>
        <v>428</v>
      </c>
      <c r="L15" s="22" t="n">
        <f aca="false">IF(J15=0,"unstaffed",ROUND(G15/J15,1))</f>
        <v>142</v>
      </c>
      <c r="M15" s="23" t="n">
        <f aca="false">H15/F15</f>
        <v>0.455607476635514</v>
      </c>
      <c r="N15" s="24" t="n">
        <v>839980</v>
      </c>
      <c r="O15" s="25" t="n">
        <v>105301</v>
      </c>
      <c r="P15" s="26" t="n">
        <v>41.9</v>
      </c>
      <c r="Q15" s="27" t="n">
        <f aca="false">IF(J15=0,"unstaffed",ROUND((20*100*(K15-MIN($K$4:$K$54))/(MAX($K$4:$K$54)-MIN($K$4:$K$54))+60*100*(L15-MIN($L$4:$L$54))/(MAX($L$4:$L$54)-MIN($L$4:$L$54))+10*100*(N15-MIN($N$4:$N$54))/(MAX($N$4:$N$54)-MIN($N$4:$N$54))+10*100*(O15-MIN($O$4:$O$54))/(MAX($O$4:$O$54)-MIN($O$4:$O$54)))/100,1))</f>
        <v>29.1</v>
      </c>
      <c r="R15" s="7" t="n">
        <f aca="false">IF(J15=0,"n/a",RANK(Q15,$Q$4:$Q$54))</f>
        <v>11</v>
      </c>
    </row>
    <row r="16" customFormat="false" ht="15" hidden="false" customHeight="true" outlineLevel="0" collapsed="false">
      <c r="E16" s="7" t="s">
        <v>152</v>
      </c>
      <c r="F16" s="8" t="n">
        <v>401</v>
      </c>
      <c r="G16" s="8" t="n">
        <v>124</v>
      </c>
      <c r="H16" s="8" t="n">
        <v>159</v>
      </c>
      <c r="I16" s="8" t="n">
        <v>44</v>
      </c>
      <c r="J16" s="21" t="n">
        <v>1</v>
      </c>
      <c r="K16" s="8" t="n">
        <f aca="false">IF(J16=0,"unstaffed",ROUND(F16/J16,0))</f>
        <v>401</v>
      </c>
      <c r="L16" s="22" t="n">
        <f aca="false">IF(J16=0,"unstaffed",ROUND(G16/J16,1))</f>
        <v>124</v>
      </c>
      <c r="M16" s="23" t="n">
        <f aca="false">H16/F16</f>
        <v>0.396508728179551</v>
      </c>
      <c r="N16" s="24" t="n">
        <v>634143</v>
      </c>
      <c r="O16" s="25" t="n">
        <v>67976</v>
      </c>
      <c r="P16" s="26" t="n">
        <v>29.8</v>
      </c>
      <c r="Q16" s="27" t="n">
        <f aca="false">IF(J16=0,"unstaffed",ROUND((20*100*(K16-MIN($K$4:$K$54))/(MAX($K$4:$K$54)-MIN($K$4:$K$54))+60*100*(L16-MIN($L$4:$L$54))/(MAX($L$4:$L$54)-MIN($L$4:$L$54))+10*100*(N16-MIN($N$4:$N$54))/(MAX($N$4:$N$54)-MIN($N$4:$N$54))+10*100*(O16-MIN($O$4:$O$54))/(MAX($O$4:$O$54)-MIN($O$4:$O$54)))/100,1))</f>
        <v>19.1</v>
      </c>
      <c r="R16" s="7" t="n">
        <f aca="false">IF(J16=0,"n/a",RANK(Q16,$Q$4:$Q$54))</f>
        <v>19</v>
      </c>
    </row>
    <row r="17" customFormat="false" ht="15" hidden="false" customHeight="true" outlineLevel="0" collapsed="false">
      <c r="E17" s="7" t="s">
        <v>134</v>
      </c>
      <c r="F17" s="8" t="n">
        <v>387</v>
      </c>
      <c r="G17" s="8" t="n">
        <v>123</v>
      </c>
      <c r="H17" s="8" t="n">
        <v>167</v>
      </c>
      <c r="I17" s="8" t="n">
        <v>51</v>
      </c>
      <c r="J17" s="21" t="n">
        <v>1</v>
      </c>
      <c r="K17" s="8" t="n">
        <f aca="false">IF(J17=0,"unstaffed",ROUND(F17/J17,0))</f>
        <v>387</v>
      </c>
      <c r="L17" s="22" t="n">
        <f aca="false">IF(J17=0,"unstaffed",ROUND(G17/J17,1))</f>
        <v>123</v>
      </c>
      <c r="M17" s="23" t="n">
        <f aca="false">H17/F17</f>
        <v>0.431524547803618</v>
      </c>
      <c r="N17" s="24" t="n">
        <v>574442</v>
      </c>
      <c r="O17" s="25" t="n">
        <v>70559</v>
      </c>
      <c r="P17" s="26" t="n">
        <v>31.1</v>
      </c>
      <c r="Q17" s="27" t="n">
        <f aca="false">IF(J17=0,"unstaffed",ROUND((20*100*(K17-MIN($K$4:$K$54))/(MAX($K$4:$K$54)-MIN($K$4:$K$54))+60*100*(L17-MIN($L$4:$L$54))/(MAX($L$4:$L$54)-MIN($L$4:$L$54))+10*100*(N17-MIN($N$4:$N$54))/(MAX($N$4:$N$54)-MIN($N$4:$N$54))+10*100*(O17-MIN($O$4:$O$54))/(MAX($O$4:$O$54)-MIN($O$4:$O$54)))/100,1))</f>
        <v>19.2</v>
      </c>
      <c r="R17" s="7" t="n">
        <f aca="false">IF(J17=0,"n/a",RANK(Q17,$Q$4:$Q$54))</f>
        <v>18</v>
      </c>
    </row>
    <row r="18" customFormat="false" ht="15" hidden="false" customHeight="true" outlineLevel="0" collapsed="false">
      <c r="E18" s="7" t="s">
        <v>121</v>
      </c>
      <c r="F18" s="8" t="n">
        <v>442</v>
      </c>
      <c r="G18" s="8" t="n">
        <v>111</v>
      </c>
      <c r="H18" s="8" t="n">
        <v>173</v>
      </c>
      <c r="I18" s="8" t="n">
        <v>48</v>
      </c>
      <c r="J18" s="21" t="n">
        <v>1</v>
      </c>
      <c r="K18" s="8" t="n">
        <f aca="false">IF(J18=0,"unstaffed",ROUND(F18/J18,0))</f>
        <v>442</v>
      </c>
      <c r="L18" s="22" t="n">
        <f aca="false">IF(J18=0,"unstaffed",ROUND(G18/J18,1))</f>
        <v>111</v>
      </c>
      <c r="M18" s="23" t="n">
        <f aca="false">H18/F18</f>
        <v>0.391402714932127</v>
      </c>
      <c r="N18" s="24" t="n">
        <v>663850</v>
      </c>
      <c r="O18" s="25" t="n">
        <v>70489</v>
      </c>
      <c r="P18" s="26" t="n">
        <v>28.5</v>
      </c>
      <c r="Q18" s="27" t="n">
        <f aca="false">IF(J18=0,"unstaffed",ROUND((20*100*(K18-MIN($K$4:$K$54))/(MAX($K$4:$K$54)-MIN($K$4:$K$54))+60*100*(L18-MIN($L$4:$L$54))/(MAX($L$4:$L$54)-MIN($L$4:$L$54))+10*100*(N18-MIN($N$4:$N$54))/(MAX($N$4:$N$54)-MIN($N$4:$N$54))+10*100*(O18-MIN($O$4:$O$54))/(MAX($O$4:$O$54)-MIN($O$4:$O$54)))/100,1))</f>
        <v>19</v>
      </c>
      <c r="R18" s="7" t="n">
        <f aca="false">IF(J18=0,"n/a",RANK(Q18,$Q$4:$Q$54))</f>
        <v>20</v>
      </c>
    </row>
    <row r="19" customFormat="false" ht="15" hidden="false" customHeight="true" outlineLevel="0" collapsed="false">
      <c r="E19" s="7" t="s">
        <v>128</v>
      </c>
      <c r="F19" s="8" t="n">
        <v>353</v>
      </c>
      <c r="G19" s="8" t="n">
        <v>119</v>
      </c>
      <c r="H19" s="8" t="n">
        <v>178</v>
      </c>
      <c r="I19" s="8" t="n">
        <v>45</v>
      </c>
      <c r="J19" s="21" t="n">
        <v>1</v>
      </c>
      <c r="K19" s="8" t="n">
        <f aca="false">IF(J19=0,"unstaffed",ROUND(F19/J19,0))</f>
        <v>353</v>
      </c>
      <c r="L19" s="22" t="n">
        <f aca="false">IF(J19=0,"unstaffed",ROUND(G19/J19,1))</f>
        <v>119</v>
      </c>
      <c r="M19" s="23" t="n">
        <f aca="false">H19/F19</f>
        <v>0.504249291784703</v>
      </c>
      <c r="N19" s="24" t="n">
        <v>601196</v>
      </c>
      <c r="O19" s="25" t="n">
        <v>104604</v>
      </c>
      <c r="P19" s="26" t="n">
        <v>45.9</v>
      </c>
      <c r="Q19" s="27" t="n">
        <f aca="false">IF(J19=0,"unstaffed",ROUND((20*100*(K19-MIN($K$4:$K$54))/(MAX($K$4:$K$54)-MIN($K$4:$K$54))+60*100*(L19-MIN($L$4:$L$54))/(MAX($L$4:$L$54)-MIN($L$4:$L$54))+10*100*(N19-MIN($N$4:$N$54))/(MAX($N$4:$N$54)-MIN($N$4:$N$54))+10*100*(O19-MIN($O$4:$O$54))/(MAX($O$4:$O$54)-MIN($O$4:$O$54)))/100,1))</f>
        <v>25.2</v>
      </c>
      <c r="R19" s="7" t="n">
        <f aca="false">IF(J19=0,"n/a",RANK(Q19,$Q$4:$Q$54))</f>
        <v>13</v>
      </c>
    </row>
    <row r="20" customFormat="false" ht="15" hidden="false" customHeight="true" outlineLevel="0" collapsed="false">
      <c r="E20" s="7" t="s">
        <v>159</v>
      </c>
      <c r="F20" s="8" t="n">
        <v>380</v>
      </c>
      <c r="G20" s="8" t="n">
        <v>108</v>
      </c>
      <c r="H20" s="8" t="n">
        <v>234</v>
      </c>
      <c r="I20" s="8" t="n">
        <v>54</v>
      </c>
      <c r="J20" s="21" t="n">
        <v>1</v>
      </c>
      <c r="K20" s="8" t="n">
        <f aca="false">IF(J20=0,"unstaffed",ROUND(F20/J20,0))</f>
        <v>380</v>
      </c>
      <c r="L20" s="22" t="n">
        <f aca="false">IF(J20=0,"unstaffed",ROUND(G20/J20,1))</f>
        <v>108</v>
      </c>
      <c r="M20" s="23" t="n">
        <f aca="false">H20/F20</f>
        <v>0.615789473684211</v>
      </c>
      <c r="N20" s="24" t="n">
        <v>686132</v>
      </c>
      <c r="O20" s="25" t="n">
        <v>95882</v>
      </c>
      <c r="P20" s="26" t="n">
        <v>37.4</v>
      </c>
      <c r="Q20" s="27" t="n">
        <f aca="false">IF(J20=0,"unstaffed",ROUND((20*100*(K20-MIN($K$4:$K$54))/(MAX($K$4:$K$54)-MIN($K$4:$K$54))+60*100*(L20-MIN($L$4:$L$54))/(MAX($L$4:$L$54)-MIN($L$4:$L$54))+10*100*(N20-MIN($N$4:$N$54))/(MAX($N$4:$N$54)-MIN($N$4:$N$54))+10*100*(O20-MIN($O$4:$O$54))/(MAX($O$4:$O$54)-MIN($O$4:$O$54)))/100,1))</f>
        <v>23</v>
      </c>
      <c r="R20" s="7" t="n">
        <f aca="false">IF(J20=0,"n/a",RANK(Q20,$Q$4:$Q$54))</f>
        <v>14</v>
      </c>
    </row>
    <row r="21" customFormat="false" ht="15" hidden="false" customHeight="true" outlineLevel="0" collapsed="false">
      <c r="E21" s="7" t="s">
        <v>104</v>
      </c>
      <c r="F21" s="8" t="n">
        <v>352</v>
      </c>
      <c r="G21" s="8" t="n">
        <v>107</v>
      </c>
      <c r="H21" s="8" t="n">
        <v>147</v>
      </c>
      <c r="I21" s="8" t="n">
        <v>50</v>
      </c>
      <c r="J21" s="21" t="n">
        <v>1</v>
      </c>
      <c r="K21" s="8" t="n">
        <f aca="false">IF(J21=0,"unstaffed",ROUND(F21/J21,0))</f>
        <v>352</v>
      </c>
      <c r="L21" s="22" t="n">
        <f aca="false">IF(J21=0,"unstaffed",ROUND(G21/J21,1))</f>
        <v>107</v>
      </c>
      <c r="M21" s="23" t="n">
        <f aca="false">H21/F21</f>
        <v>0.417613636363636</v>
      </c>
      <c r="N21" s="24" t="n">
        <v>524110</v>
      </c>
      <c r="O21" s="25" t="n">
        <v>92748</v>
      </c>
      <c r="P21" s="26" t="n">
        <v>43.3</v>
      </c>
      <c r="Q21" s="27" t="n">
        <f aca="false">IF(J21=0,"unstaffed",ROUND((20*100*(K21-MIN($K$4:$K$54))/(MAX($K$4:$K$54)-MIN($K$4:$K$54))+60*100*(L21-MIN($L$4:$L$54))/(MAX($L$4:$L$54)-MIN($L$4:$L$54))+10*100*(N21-MIN($N$4:$N$54))/(MAX($N$4:$N$54)-MIN($N$4:$N$54))+10*100*(O21-MIN($O$4:$O$54))/(MAX($O$4:$O$54)-MIN($O$4:$O$54)))/100,1))</f>
        <v>21.5</v>
      </c>
      <c r="R21" s="7" t="n">
        <f aca="false">IF(J21=0,"n/a",RANK(Q21,$Q$4:$Q$54))</f>
        <v>16</v>
      </c>
    </row>
    <row r="22" customFormat="false" ht="15" hidden="false" customHeight="true" outlineLevel="0" collapsed="false">
      <c r="E22" s="7" t="s">
        <v>96</v>
      </c>
      <c r="F22" s="8" t="n">
        <v>294</v>
      </c>
      <c r="G22" s="8" t="n">
        <v>113</v>
      </c>
      <c r="H22" s="8" t="n">
        <v>58</v>
      </c>
      <c r="I22" s="8" t="n">
        <v>23</v>
      </c>
      <c r="J22" s="21" t="n">
        <v>1</v>
      </c>
      <c r="K22" s="8" t="n">
        <f aca="false">IF(J22=0,"unstaffed",ROUND(F22/J22,0))</f>
        <v>294</v>
      </c>
      <c r="L22" s="22" t="n">
        <f aca="false">IF(J22=0,"unstaffed",ROUND(G22/J22,1))</f>
        <v>113</v>
      </c>
      <c r="M22" s="23" t="n">
        <f aca="false">H22/F22</f>
        <v>0.197278911564626</v>
      </c>
      <c r="N22" s="24" t="n">
        <v>475496</v>
      </c>
      <c r="O22" s="25" t="n">
        <v>62958</v>
      </c>
      <c r="P22" s="26" t="n">
        <v>27.3</v>
      </c>
      <c r="Q22" s="27" t="n">
        <f aca="false">IF(J22=0,"unstaffed",ROUND((20*100*(K22-MIN($K$4:$K$54))/(MAX($K$4:$K$54)-MIN($K$4:$K$54))+60*100*(L22-MIN($L$4:$L$54))/(MAX($L$4:$L$54)-MIN($L$4:$L$54))+10*100*(N22-MIN($N$4:$N$54))/(MAX($N$4:$N$54)-MIN($N$4:$N$54))+10*100*(O22-MIN($O$4:$O$54))/(MAX($O$4:$O$54)-MIN($O$4:$O$54)))/100,1))</f>
        <v>15.3</v>
      </c>
      <c r="R22" s="7" t="n">
        <f aca="false">IF(J22=0,"n/a",RANK(Q22,$Q$4:$Q$54))</f>
        <v>26</v>
      </c>
    </row>
    <row r="23" customFormat="false" ht="15" hidden="false" customHeight="true" outlineLevel="0" collapsed="false">
      <c r="E23" s="7" t="s">
        <v>127</v>
      </c>
      <c r="F23" s="8" t="n">
        <v>297</v>
      </c>
      <c r="G23" s="8" t="n">
        <v>112</v>
      </c>
      <c r="H23" s="8" t="n">
        <v>137</v>
      </c>
      <c r="I23" s="8" t="n">
        <v>47</v>
      </c>
      <c r="J23" s="21" t="n">
        <v>1</v>
      </c>
      <c r="K23" s="8" t="n">
        <f aca="false">IF(J23=0,"unstaffed",ROUND(F23/J23,0))</f>
        <v>297</v>
      </c>
      <c r="L23" s="22" t="n">
        <f aca="false">IF(J23=0,"unstaffed",ROUND(G23/J23,1))</f>
        <v>112</v>
      </c>
      <c r="M23" s="23" t="n">
        <f aca="false">H23/F23</f>
        <v>0.461279461279461</v>
      </c>
      <c r="N23" s="24" t="n">
        <v>446723</v>
      </c>
      <c r="O23" s="25" t="n">
        <v>60536</v>
      </c>
      <c r="P23" s="26" t="n">
        <v>26.2</v>
      </c>
      <c r="Q23" s="27" t="n">
        <f aca="false">IF(J23=0,"unstaffed",ROUND((20*100*(K23-MIN($K$4:$K$54))/(MAX($K$4:$K$54)-MIN($K$4:$K$54))+60*100*(L23-MIN($L$4:$L$54))/(MAX($L$4:$L$54)-MIN($L$4:$L$54))+10*100*(N23-MIN($N$4:$N$54))/(MAX($N$4:$N$54)-MIN($N$4:$N$54))+10*100*(O23-MIN($O$4:$O$54))/(MAX($O$4:$O$54)-MIN($O$4:$O$54)))/100,1))</f>
        <v>14.7</v>
      </c>
      <c r="R23" s="7" t="n">
        <f aca="false">IF(J23=0,"n/a",RANK(Q23,$Q$4:$Q$54))</f>
        <v>28</v>
      </c>
    </row>
    <row r="24" customFormat="false" ht="15" hidden="false" customHeight="true" outlineLevel="0" collapsed="false">
      <c r="E24" s="7" t="s">
        <v>132</v>
      </c>
      <c r="F24" s="8" t="n">
        <v>395</v>
      </c>
      <c r="G24" s="8" t="n">
        <v>93</v>
      </c>
      <c r="H24" s="8" t="n">
        <v>180</v>
      </c>
      <c r="I24" s="8" t="n">
        <v>47</v>
      </c>
      <c r="J24" s="21" t="n">
        <v>1</v>
      </c>
      <c r="K24" s="8" t="n">
        <f aca="false">IF(J24=0,"unstaffed",ROUND(F24/J24,0))</f>
        <v>395</v>
      </c>
      <c r="L24" s="22" t="n">
        <f aca="false">IF(J24=0,"unstaffed",ROUND(G24/J24,1))</f>
        <v>93</v>
      </c>
      <c r="M24" s="23" t="n">
        <f aca="false">H24/F24</f>
        <v>0.455696202531646</v>
      </c>
      <c r="N24" s="24" t="n">
        <v>544220</v>
      </c>
      <c r="O24" s="25" t="n">
        <v>88902</v>
      </c>
      <c r="P24" s="26" t="n">
        <v>38.1</v>
      </c>
      <c r="Q24" s="27" t="n">
        <f aca="false">IF(J24=0,"unstaffed",ROUND((20*100*(K24-MIN($K$4:$K$54))/(MAX($K$4:$K$54)-MIN($K$4:$K$54))+60*100*(L24-MIN($L$4:$L$54))/(MAX($L$4:$L$54)-MIN($L$4:$L$54))+10*100*(N24-MIN($N$4:$N$54))/(MAX($N$4:$N$54)-MIN($N$4:$N$54))+10*100*(O24-MIN($O$4:$O$54))/(MAX($O$4:$O$54)-MIN($O$4:$O$54)))/100,1))</f>
        <v>20</v>
      </c>
      <c r="R24" s="7" t="n">
        <f aca="false">IF(J24=0,"n/a",RANK(Q24,$Q$4:$Q$54))</f>
        <v>17</v>
      </c>
    </row>
    <row r="25" customFormat="false" ht="15" hidden="false" customHeight="true" outlineLevel="0" collapsed="false">
      <c r="E25" s="7" t="s">
        <v>86</v>
      </c>
      <c r="F25" s="8" t="n">
        <v>364</v>
      </c>
      <c r="G25" s="8" t="n">
        <v>97</v>
      </c>
      <c r="H25" s="8" t="n">
        <v>149</v>
      </c>
      <c r="I25" s="8" t="n">
        <v>28</v>
      </c>
      <c r="J25" s="21" t="n">
        <v>1</v>
      </c>
      <c r="K25" s="8" t="n">
        <f aca="false">IF(J25=0,"unstaffed",ROUND(F25/J25,0))</f>
        <v>364</v>
      </c>
      <c r="L25" s="22" t="n">
        <f aca="false">IF(J25=0,"unstaffed",ROUND(G25/J25,1))</f>
        <v>97</v>
      </c>
      <c r="M25" s="23" t="n">
        <f aca="false">H25/F25</f>
        <v>0.409340659340659</v>
      </c>
      <c r="N25" s="24" t="n">
        <v>473826</v>
      </c>
      <c r="O25" s="25" t="n">
        <v>65973</v>
      </c>
      <c r="P25" s="26" t="n">
        <v>30.6</v>
      </c>
      <c r="Q25" s="27" t="n">
        <f aca="false">IF(J25=0,"unstaffed",ROUND((20*100*(K25-MIN($K$4:$K$54))/(MAX($K$4:$K$54)-MIN($K$4:$K$54))+60*100*(L25-MIN($L$4:$L$54))/(MAX($L$4:$L$54)-MIN($L$4:$L$54))+10*100*(N25-MIN($N$4:$N$54))/(MAX($N$4:$N$54)-MIN($N$4:$N$54))+10*100*(O25-MIN($O$4:$O$54))/(MAX($O$4:$O$54)-MIN($O$4:$O$54)))/100,1))</f>
        <v>15.3</v>
      </c>
      <c r="R25" s="7" t="n">
        <f aca="false">IF(J25=0,"n/a",RANK(Q25,$Q$4:$Q$54))</f>
        <v>26</v>
      </c>
    </row>
    <row r="26" customFormat="false" ht="15" hidden="false" customHeight="true" outlineLevel="0" collapsed="false">
      <c r="E26" s="7" t="s">
        <v>100</v>
      </c>
      <c r="F26" s="8" t="n">
        <v>273</v>
      </c>
      <c r="G26" s="8" t="n">
        <v>107</v>
      </c>
      <c r="H26" s="8" t="n">
        <v>84</v>
      </c>
      <c r="I26" s="8" t="n">
        <v>37</v>
      </c>
      <c r="J26" s="21" t="n">
        <v>1</v>
      </c>
      <c r="K26" s="8" t="n">
        <f aca="false">IF(J26=0,"unstaffed",ROUND(F26/J26,0))</f>
        <v>273</v>
      </c>
      <c r="L26" s="22" t="n">
        <f aca="false">IF(J26=0,"unstaffed",ROUND(G26/J26,1))</f>
        <v>107</v>
      </c>
      <c r="M26" s="23" t="n">
        <f aca="false">H26/F26</f>
        <v>0.307692307692308</v>
      </c>
      <c r="N26" s="24" t="n">
        <v>678765</v>
      </c>
      <c r="O26" s="25" t="n">
        <v>76830</v>
      </c>
      <c r="P26" s="26" t="n">
        <v>31.1</v>
      </c>
      <c r="Q26" s="27" t="n">
        <f aca="false">IF(J26=0,"unstaffed",ROUND((20*100*(K26-MIN($K$4:$K$54))/(MAX($K$4:$K$54)-MIN($K$4:$K$54))+60*100*(L26-MIN($L$4:$L$54))/(MAX($L$4:$L$54)-MIN($L$4:$L$54))+10*100*(N26-MIN($N$4:$N$54))/(MAX($N$4:$N$54)-MIN($N$4:$N$54))+10*100*(O26-MIN($O$4:$O$54))/(MAX($O$4:$O$54)-MIN($O$4:$O$54)))/100,1))</f>
        <v>17.8</v>
      </c>
      <c r="R26" s="7" t="n">
        <f aca="false">IF(J26=0,"n/a",RANK(Q26,$Q$4:$Q$54))</f>
        <v>21</v>
      </c>
    </row>
    <row r="27" customFormat="false" ht="15" hidden="false" customHeight="true" outlineLevel="0" collapsed="false">
      <c r="E27" s="7" t="s">
        <v>129</v>
      </c>
      <c r="F27" s="8" t="n">
        <v>320</v>
      </c>
      <c r="G27" s="8" t="n">
        <v>97</v>
      </c>
      <c r="H27" s="8" t="n">
        <v>115</v>
      </c>
      <c r="I27" s="8" t="n">
        <v>47</v>
      </c>
      <c r="J27" s="21" t="n">
        <v>1</v>
      </c>
      <c r="K27" s="8" t="n">
        <f aca="false">IF(J27=0,"unstaffed",ROUND(F27/J27,0))</f>
        <v>320</v>
      </c>
      <c r="L27" s="22" t="n">
        <f aca="false">IF(J27=0,"unstaffed",ROUND(G27/J27,1))</f>
        <v>97</v>
      </c>
      <c r="M27" s="23" t="n">
        <f aca="false">H27/F27</f>
        <v>0.359375</v>
      </c>
      <c r="N27" s="24" t="n">
        <v>568312</v>
      </c>
      <c r="O27" s="25" t="n">
        <v>105318</v>
      </c>
      <c r="P27" s="26" t="n">
        <v>42.1</v>
      </c>
      <c r="Q27" s="27" t="n">
        <f aca="false">IF(J27=0,"unstaffed",ROUND((20*100*(K27-MIN($K$4:$K$54))/(MAX($K$4:$K$54)-MIN($K$4:$K$54))+60*100*(L27-MIN($L$4:$L$54))/(MAX($L$4:$L$54)-MIN($L$4:$L$54))+10*100*(N27-MIN($N$4:$N$54))/(MAX($N$4:$N$54)-MIN($N$4:$N$54))+10*100*(O27-MIN($O$4:$O$54))/(MAX($O$4:$O$54)-MIN($O$4:$O$54)))/100,1))</f>
        <v>22.8</v>
      </c>
      <c r="R27" s="7" t="n">
        <f aca="false">IF(J27=0,"n/a",RANK(Q27,$Q$4:$Q$54))</f>
        <v>15</v>
      </c>
    </row>
    <row r="28" customFormat="false" ht="15" hidden="false" customHeight="true" outlineLevel="0" collapsed="false">
      <c r="E28" s="7" t="s">
        <v>148</v>
      </c>
      <c r="F28" s="8" t="n">
        <v>304</v>
      </c>
      <c r="G28" s="8" t="n">
        <v>92</v>
      </c>
      <c r="H28" s="8" t="n">
        <v>136</v>
      </c>
      <c r="I28" s="8" t="n">
        <v>50</v>
      </c>
      <c r="J28" s="21" t="n">
        <v>1</v>
      </c>
      <c r="K28" s="8" t="n">
        <f aca="false">IF(J28=0,"unstaffed",ROUND(F28/J28,0))</f>
        <v>304</v>
      </c>
      <c r="L28" s="22" t="n">
        <f aca="false">IF(J28=0,"unstaffed",ROUND(G28/J28,1))</f>
        <v>92</v>
      </c>
      <c r="M28" s="23" t="n">
        <f aca="false">H28/F28</f>
        <v>0.447368421052632</v>
      </c>
      <c r="N28" s="24" t="n">
        <v>361398</v>
      </c>
      <c r="O28" s="25" t="n">
        <v>80169</v>
      </c>
      <c r="P28" s="26" t="n">
        <v>35.3</v>
      </c>
      <c r="Q28" s="27" t="n">
        <f aca="false">IF(J28=0,"unstaffed",ROUND((20*100*(K28-MIN($K$4:$K$54))/(MAX($K$4:$K$54)-MIN($K$4:$K$54))+60*100*(L28-MIN($L$4:$L$54))/(MAX($L$4:$L$54)-MIN($L$4:$L$54))+10*100*(N28-MIN($N$4:$N$54))/(MAX($N$4:$N$54)-MIN($N$4:$N$54))+10*100*(O28-MIN($O$4:$O$54))/(MAX($O$4:$O$54)-MIN($O$4:$O$54)))/100,1))</f>
        <v>16.6</v>
      </c>
      <c r="R28" s="7" t="n">
        <f aca="false">IF(J28=0,"n/a",RANK(Q28,$Q$4:$Q$54))</f>
        <v>22</v>
      </c>
    </row>
    <row r="29" customFormat="false" ht="15" hidden="false" customHeight="true" outlineLevel="0" collapsed="false">
      <c r="E29" s="7" t="s">
        <v>160</v>
      </c>
      <c r="F29" s="8" t="n">
        <v>363</v>
      </c>
      <c r="G29" s="8" t="n">
        <v>83</v>
      </c>
      <c r="H29" s="8" t="n">
        <v>193</v>
      </c>
      <c r="I29" s="8" t="n">
        <v>40</v>
      </c>
      <c r="J29" s="21" t="n">
        <v>1</v>
      </c>
      <c r="K29" s="8" t="n">
        <f aca="false">IF(J29=0,"unstaffed",ROUND(F29/J29,0))</f>
        <v>363</v>
      </c>
      <c r="L29" s="22" t="n">
        <f aca="false">IF(J29=0,"unstaffed",ROUND(G29/J29,1))</f>
        <v>83</v>
      </c>
      <c r="M29" s="23" t="n">
        <f aca="false">H29/F29</f>
        <v>0.53168044077135</v>
      </c>
      <c r="N29" s="24" t="n">
        <v>539990</v>
      </c>
      <c r="O29" s="25" t="n">
        <v>74918</v>
      </c>
      <c r="P29" s="26" t="n">
        <v>32.1</v>
      </c>
      <c r="Q29" s="27" t="n">
        <f aca="false">IF(J29=0,"unstaffed",ROUND((20*100*(K29-MIN($K$4:$K$54))/(MAX($K$4:$K$54)-MIN($K$4:$K$54))+60*100*(L29-MIN($L$4:$L$54))/(MAX($L$4:$L$54)-MIN($L$4:$L$54))+10*100*(N29-MIN($N$4:$N$54))/(MAX($N$4:$N$54)-MIN($N$4:$N$54))+10*100*(O29-MIN($O$4:$O$54))/(MAX($O$4:$O$54)-MIN($O$4:$O$54)))/100,1))</f>
        <v>15.9</v>
      </c>
      <c r="R29" s="7" t="n">
        <f aca="false">IF(J29=0,"n/a",RANK(Q29,$Q$4:$Q$54))</f>
        <v>25</v>
      </c>
    </row>
    <row r="30" customFormat="false" ht="15" hidden="false" customHeight="true" outlineLevel="0" collapsed="false">
      <c r="E30" s="7" t="s">
        <v>125</v>
      </c>
      <c r="F30" s="8" t="n">
        <v>277</v>
      </c>
      <c r="G30" s="8" t="n">
        <v>77</v>
      </c>
      <c r="H30" s="8" t="n">
        <v>107</v>
      </c>
      <c r="I30" s="8" t="n">
        <v>30</v>
      </c>
      <c r="J30" s="21" t="n">
        <v>1</v>
      </c>
      <c r="K30" s="8" t="n">
        <f aca="false">IF(J30=0,"unstaffed",ROUND(F30/J30,0))</f>
        <v>277</v>
      </c>
      <c r="L30" s="22" t="n">
        <f aca="false">IF(J30=0,"unstaffed",ROUND(G30/J30,1))</f>
        <v>77</v>
      </c>
      <c r="M30" s="23" t="n">
        <f aca="false">H30/F30</f>
        <v>0.386281588447653</v>
      </c>
      <c r="N30" s="24" t="n">
        <v>420934</v>
      </c>
      <c r="O30" s="25" t="n">
        <v>63260</v>
      </c>
      <c r="P30" s="26" t="n">
        <v>26.5</v>
      </c>
      <c r="Q30" s="27" t="n">
        <f aca="false">IF(J30=0,"unstaffed",ROUND((20*100*(K30-MIN($K$4:$K$54))/(MAX($K$4:$K$54)-MIN($K$4:$K$54))+60*100*(L30-MIN($L$4:$L$54))/(MAX($L$4:$L$54)-MIN($L$4:$L$54))+10*100*(N30-MIN($N$4:$N$54))/(MAX($N$4:$N$54)-MIN($N$4:$N$54))+10*100*(O30-MIN($O$4:$O$54))/(MAX($O$4:$O$54)-MIN($O$4:$O$54)))/100,1))</f>
        <v>11.6</v>
      </c>
      <c r="R30" s="7" t="n">
        <f aca="false">IF(J30=0,"n/a",RANK(Q30,$Q$4:$Q$54))</f>
        <v>30</v>
      </c>
    </row>
    <row r="31" customFormat="false" ht="15" hidden="false" customHeight="true" outlineLevel="0" collapsed="false">
      <c r="E31" s="7" t="s">
        <v>147</v>
      </c>
      <c r="F31" s="8" t="n">
        <v>193</v>
      </c>
      <c r="G31" s="8" t="n">
        <v>83</v>
      </c>
      <c r="H31" s="8" t="n">
        <v>85</v>
      </c>
      <c r="I31" s="8" t="n">
        <v>37</v>
      </c>
      <c r="J31" s="21" t="n">
        <v>1</v>
      </c>
      <c r="K31" s="8" t="n">
        <f aca="false">IF(J31=0,"unstaffed",ROUND(F31/J31,0))</f>
        <v>193</v>
      </c>
      <c r="L31" s="22" t="n">
        <f aca="false">IF(J31=0,"unstaffed",ROUND(G31/J31,1))</f>
        <v>83</v>
      </c>
      <c r="M31" s="23" t="n">
        <f aca="false">H31/F31</f>
        <v>0.440414507772021</v>
      </c>
      <c r="N31" s="24" t="n">
        <v>398153</v>
      </c>
      <c r="O31" s="25" t="n">
        <v>64348</v>
      </c>
      <c r="P31" s="26" t="n">
        <v>27.3</v>
      </c>
      <c r="Q31" s="27" t="n">
        <f aca="false">IF(J31=0,"unstaffed",ROUND((20*100*(K31-MIN($K$4:$K$54))/(MAX($K$4:$K$54)-MIN($K$4:$K$54))+60*100*(L31-MIN($L$4:$L$54))/(MAX($L$4:$L$54)-MIN($L$4:$L$54))+10*100*(N31-MIN($N$4:$N$54))/(MAX($N$4:$N$54)-MIN($N$4:$N$54))+10*100*(O31-MIN($O$4:$O$54))/(MAX($O$4:$O$54)-MIN($O$4:$O$54)))/100,1))</f>
        <v>11.3</v>
      </c>
      <c r="R31" s="7" t="n">
        <f aca="false">IF(J31=0,"n/a",RANK(Q31,$Q$4:$Q$54))</f>
        <v>31</v>
      </c>
    </row>
    <row r="32" customFormat="false" ht="15" hidden="false" customHeight="true" outlineLevel="0" collapsed="false">
      <c r="E32" s="7" t="s">
        <v>155</v>
      </c>
      <c r="F32" s="8" t="n">
        <v>198</v>
      </c>
      <c r="G32" s="8" t="n">
        <v>78</v>
      </c>
      <c r="H32" s="8" t="n">
        <v>55</v>
      </c>
      <c r="I32" s="8" t="n">
        <v>29</v>
      </c>
      <c r="J32" s="21" t="n">
        <v>1</v>
      </c>
      <c r="K32" s="8" t="n">
        <f aca="false">IF(J32=0,"unstaffed",ROUND(F32/J32,0))</f>
        <v>198</v>
      </c>
      <c r="L32" s="22" t="n">
        <f aca="false">IF(J32=0,"unstaffed",ROUND(G32/J32,1))</f>
        <v>78</v>
      </c>
      <c r="M32" s="23" t="n">
        <f aca="false">H32/F32</f>
        <v>0.277777777777778</v>
      </c>
      <c r="N32" s="24" t="n">
        <v>391256</v>
      </c>
      <c r="O32" s="25" t="n">
        <v>90304</v>
      </c>
      <c r="P32" s="26" t="n">
        <v>36.1</v>
      </c>
      <c r="Q32" s="27" t="n">
        <f aca="false">IF(J32=0,"unstaffed",ROUND((20*100*(K32-MIN($K$4:$K$54))/(MAX($K$4:$K$54)-MIN($K$4:$K$54))+60*100*(L32-MIN($L$4:$L$54))/(MAX($L$4:$L$54)-MIN($L$4:$L$54))+10*100*(N32-MIN($N$4:$N$54))/(MAX($N$4:$N$54)-MIN($N$4:$N$54))+10*100*(O32-MIN($O$4:$O$54))/(MAX($O$4:$O$54)-MIN($O$4:$O$54)))/100,1))</f>
        <v>16</v>
      </c>
      <c r="R32" s="7" t="n">
        <f aca="false">IF(J32=0,"n/a",RANK(Q32,$Q$4:$Q$54))</f>
        <v>24</v>
      </c>
    </row>
    <row r="33" customFormat="false" ht="15" hidden="false" customHeight="true" outlineLevel="0" collapsed="false">
      <c r="E33" s="7" t="s">
        <v>106</v>
      </c>
      <c r="F33" s="8" t="n">
        <v>254</v>
      </c>
      <c r="G33" s="8" t="n">
        <v>57</v>
      </c>
      <c r="H33" s="8" t="n">
        <v>79</v>
      </c>
      <c r="I33" s="8" t="n">
        <v>31</v>
      </c>
      <c r="J33" s="21" t="n">
        <v>1</v>
      </c>
      <c r="K33" s="8" t="n">
        <f aca="false">IF(J33=0,"unstaffed",ROUND(F33/J33,0))</f>
        <v>254</v>
      </c>
      <c r="L33" s="22" t="n">
        <f aca="false">IF(J33=0,"unstaffed",ROUND(G33/J33,1))</f>
        <v>57</v>
      </c>
      <c r="M33" s="23" t="n">
        <f aca="false">H33/F33</f>
        <v>0.311023622047244</v>
      </c>
      <c r="N33" s="24" t="n">
        <v>327301</v>
      </c>
      <c r="O33" s="25" t="n">
        <v>100073</v>
      </c>
      <c r="P33" s="26" t="n">
        <v>41.4</v>
      </c>
      <c r="Q33" s="27" t="n">
        <f aca="false">IF(J33=0,"unstaffed",ROUND((20*100*(K33-MIN($K$4:$K$54))/(MAX($K$4:$K$54)-MIN($K$4:$K$54))+60*100*(L33-MIN($L$4:$L$54))/(MAX($L$4:$L$54)-MIN($L$4:$L$54))+10*100*(N33-MIN($N$4:$N$54))/(MAX($N$4:$N$54)-MIN($N$4:$N$54))+10*100*(O33-MIN($O$4:$O$54))/(MAX($O$4:$O$54)-MIN($O$4:$O$54)))/100,1))</f>
        <v>16.5</v>
      </c>
      <c r="R33" s="7" t="n">
        <f aca="false">IF(J33=0,"n/a",RANK(Q33,$Q$4:$Q$54))</f>
        <v>23</v>
      </c>
    </row>
    <row r="34" customFormat="false" ht="15" hidden="false" customHeight="true" outlineLevel="0" collapsed="false">
      <c r="E34" s="7" t="s">
        <v>98</v>
      </c>
      <c r="F34" s="8" t="n">
        <v>180</v>
      </c>
      <c r="G34" s="8" t="n">
        <v>64</v>
      </c>
      <c r="H34" s="8" t="n">
        <v>64</v>
      </c>
      <c r="I34" s="8" t="n">
        <v>22</v>
      </c>
      <c r="J34" s="21" t="n">
        <v>1</v>
      </c>
      <c r="K34" s="8" t="n">
        <f aca="false">IF(J34=0,"unstaffed",ROUND(F34/J34,0))</f>
        <v>180</v>
      </c>
      <c r="L34" s="22" t="n">
        <f aca="false">IF(J34=0,"unstaffed",ROUND(G34/J34,1))</f>
        <v>64</v>
      </c>
      <c r="M34" s="23" t="n">
        <f aca="false">H34/F34</f>
        <v>0.355555555555556</v>
      </c>
      <c r="N34" s="24" t="n">
        <v>292429</v>
      </c>
      <c r="O34" s="25" t="n">
        <v>58413</v>
      </c>
      <c r="P34" s="26" t="n">
        <v>24.8</v>
      </c>
      <c r="Q34" s="27" t="n">
        <f aca="false">IF(J34=0,"unstaffed",ROUND((20*100*(K34-MIN($K$4:$K$54))/(MAX($K$4:$K$54)-MIN($K$4:$K$54))+60*100*(L34-MIN($L$4:$L$54))/(MAX($L$4:$L$54)-MIN($L$4:$L$54))+10*100*(N34-MIN($N$4:$N$54))/(MAX($N$4:$N$54)-MIN($N$4:$N$54))+10*100*(O34-MIN($O$4:$O$54))/(MAX($O$4:$O$54)-MIN($O$4:$O$54)))/100,1))</f>
        <v>7.9</v>
      </c>
      <c r="R34" s="7" t="n">
        <f aca="false">IF(J34=0,"n/a",RANK(Q34,$Q$4:$Q$54))</f>
        <v>38</v>
      </c>
    </row>
    <row r="35" customFormat="false" ht="15" hidden="false" customHeight="true" outlineLevel="0" collapsed="false">
      <c r="E35" s="7" t="s">
        <v>135</v>
      </c>
      <c r="F35" s="8" t="n">
        <v>168</v>
      </c>
      <c r="G35" s="8" t="n">
        <v>61</v>
      </c>
      <c r="H35" s="8" t="n">
        <v>31</v>
      </c>
      <c r="I35" s="8" t="n">
        <v>14</v>
      </c>
      <c r="J35" s="21" t="n">
        <v>1</v>
      </c>
      <c r="K35" s="8" t="n">
        <f aca="false">IF(J35=0,"unstaffed",ROUND(F35/J35,0))</f>
        <v>168</v>
      </c>
      <c r="L35" s="22" t="n">
        <f aca="false">IF(J35=0,"unstaffed",ROUND(G35/J35,1))</f>
        <v>61</v>
      </c>
      <c r="M35" s="23" t="n">
        <f aca="false">H35/F35</f>
        <v>0.18452380952381</v>
      </c>
      <c r="N35" s="24" t="n">
        <v>297430</v>
      </c>
      <c r="O35" s="25" t="n">
        <v>55102</v>
      </c>
      <c r="P35" s="26" t="n">
        <v>24</v>
      </c>
      <c r="Q35" s="27" t="n">
        <f aca="false">IF(J35=0,"unstaffed",ROUND((20*100*(K35-MIN($K$4:$K$54))/(MAX($K$4:$K$54)-MIN($K$4:$K$54))+60*100*(L35-MIN($L$4:$L$54))/(MAX($L$4:$L$54)-MIN($L$4:$L$54))+10*100*(N35-MIN($N$4:$N$54))/(MAX($N$4:$N$54)-MIN($N$4:$N$54))+10*100*(O35-MIN($O$4:$O$54))/(MAX($O$4:$O$54)-MIN($O$4:$O$54)))/100,1))</f>
        <v>6.8</v>
      </c>
      <c r="R35" s="7" t="n">
        <f aca="false">IF(J35=0,"n/a",RANK(Q35,$Q$4:$Q$54))</f>
        <v>41</v>
      </c>
    </row>
    <row r="36" customFormat="false" ht="15" hidden="false" customHeight="true" outlineLevel="0" collapsed="false">
      <c r="E36" s="7" t="s">
        <v>143</v>
      </c>
      <c r="F36" s="8" t="n">
        <v>150</v>
      </c>
      <c r="G36" s="8" t="n">
        <v>55</v>
      </c>
      <c r="H36" s="8" t="n">
        <v>35</v>
      </c>
      <c r="I36" s="8" t="n">
        <v>15</v>
      </c>
      <c r="J36" s="21" t="n">
        <v>1</v>
      </c>
      <c r="K36" s="8" t="n">
        <f aca="false">IF(J36=0,"unstaffed",ROUND(F36/J36,0))</f>
        <v>150</v>
      </c>
      <c r="L36" s="22" t="n">
        <f aca="false">IF(J36=0,"unstaffed",ROUND(G36/J36,1))</f>
        <v>55</v>
      </c>
      <c r="M36" s="23" t="n">
        <f aca="false">H36/F36</f>
        <v>0.233333333333333</v>
      </c>
      <c r="N36" s="24" t="n">
        <v>283596</v>
      </c>
      <c r="O36" s="25" t="n">
        <v>75303</v>
      </c>
      <c r="P36" s="26" t="n">
        <v>26.1</v>
      </c>
      <c r="Q36" s="27" t="n">
        <f aca="false">IF(J36=0,"unstaffed",ROUND((20*100*(K36-MIN($K$4:$K$54))/(MAX($K$4:$K$54)-MIN($K$4:$K$54))+60*100*(L36-MIN($L$4:$L$54))/(MAX($L$4:$L$54)-MIN($L$4:$L$54))+10*100*(N36-MIN($N$4:$N$54))/(MAX($N$4:$N$54)-MIN($N$4:$N$54))+10*100*(O36-MIN($O$4:$O$54))/(MAX($O$4:$O$54)-MIN($O$4:$O$54)))/100,1))</f>
        <v>10</v>
      </c>
      <c r="R36" s="7" t="n">
        <f aca="false">IF(J36=0,"n/a",RANK(Q36,$Q$4:$Q$54))</f>
        <v>34</v>
      </c>
    </row>
    <row r="37" customFormat="false" ht="15" hidden="false" customHeight="true" outlineLevel="0" collapsed="false">
      <c r="E37" s="7" t="s">
        <v>116</v>
      </c>
      <c r="F37" s="8" t="n">
        <v>179</v>
      </c>
      <c r="G37" s="8" t="n">
        <v>51</v>
      </c>
      <c r="H37" s="8" t="n">
        <v>58</v>
      </c>
      <c r="I37" s="8" t="n">
        <v>23</v>
      </c>
      <c r="J37" s="21" t="n">
        <v>1</v>
      </c>
      <c r="K37" s="8" t="n">
        <f aca="false">IF(J37=0,"unstaffed",ROUND(F37/J37,0))</f>
        <v>179</v>
      </c>
      <c r="L37" s="22" t="n">
        <f aca="false">IF(J37=0,"unstaffed",ROUND(G37/J37,1))</f>
        <v>51</v>
      </c>
      <c r="M37" s="23" t="n">
        <f aca="false">H37/F37</f>
        <v>0.324022346368715</v>
      </c>
      <c r="N37" s="24" t="n">
        <v>309916</v>
      </c>
      <c r="O37" s="25" t="n">
        <v>73313</v>
      </c>
      <c r="P37" s="26" t="n">
        <v>30.8</v>
      </c>
      <c r="Q37" s="27" t="n">
        <f aca="false">IF(J37=0,"unstaffed",ROUND((20*100*(K37-MIN($K$4:$K$54))/(MAX($K$4:$K$54)-MIN($K$4:$K$54))+60*100*(L37-MIN($L$4:$L$54))/(MAX($L$4:$L$54)-MIN($L$4:$L$54))+10*100*(N37-MIN($N$4:$N$54))/(MAX($N$4:$N$54)-MIN($N$4:$N$54))+10*100*(O37-MIN($O$4:$O$54))/(MAX($O$4:$O$54)-MIN($O$4:$O$54)))/100,1))</f>
        <v>9.7</v>
      </c>
      <c r="R37" s="7" t="n">
        <f aca="false">IF(J37=0,"n/a",RANK(Q37,$Q$4:$Q$54))</f>
        <v>36</v>
      </c>
    </row>
    <row r="38" customFormat="false" ht="15" hidden="false" customHeight="true" outlineLevel="0" collapsed="false">
      <c r="E38" s="7" t="s">
        <v>123</v>
      </c>
      <c r="F38" s="8" t="n">
        <v>176</v>
      </c>
      <c r="G38" s="8" t="n">
        <v>51</v>
      </c>
      <c r="H38" s="8" t="n">
        <v>40</v>
      </c>
      <c r="I38" s="8" t="n">
        <v>19</v>
      </c>
      <c r="J38" s="21" t="n">
        <v>1</v>
      </c>
      <c r="K38" s="8" t="n">
        <f aca="false">IF(J38=0,"unstaffed",ROUND(F38/J38,0))</f>
        <v>176</v>
      </c>
      <c r="L38" s="22" t="n">
        <f aca="false">IF(J38=0,"unstaffed",ROUND(G38/J38,1))</f>
        <v>51</v>
      </c>
      <c r="M38" s="23" t="n">
        <f aca="false">H38/F38</f>
        <v>0.227272727272727</v>
      </c>
      <c r="N38" s="24" t="n">
        <v>296566</v>
      </c>
      <c r="O38" s="25" t="n">
        <v>75263</v>
      </c>
      <c r="P38" s="26" t="n">
        <v>34.5</v>
      </c>
      <c r="Q38" s="27" t="n">
        <f aca="false">IF(J38=0,"unstaffed",ROUND((20*100*(K38-MIN($K$4:$K$54))/(MAX($K$4:$K$54)-MIN($K$4:$K$54))+60*100*(L38-MIN($L$4:$L$54))/(MAX($L$4:$L$54)-MIN($L$4:$L$54))+10*100*(N38-MIN($N$4:$N$54))/(MAX($N$4:$N$54)-MIN($N$4:$N$54))+10*100*(O38-MIN($O$4:$O$54))/(MAX($O$4:$O$54)-MIN($O$4:$O$54)))/100,1))</f>
        <v>10</v>
      </c>
      <c r="R38" s="7" t="n">
        <f aca="false">IF(J38=0,"n/a",RANK(Q38,$Q$4:$Q$54))</f>
        <v>34</v>
      </c>
    </row>
    <row r="39" customFormat="false" ht="15" hidden="false" customHeight="true" outlineLevel="0" collapsed="false">
      <c r="E39" s="7" t="s">
        <v>130</v>
      </c>
      <c r="F39" s="8" t="n">
        <v>110</v>
      </c>
      <c r="G39" s="8" t="n">
        <v>41</v>
      </c>
      <c r="H39" s="8" t="n">
        <v>68</v>
      </c>
      <c r="I39" s="8" t="n">
        <v>25</v>
      </c>
      <c r="J39" s="21" t="n">
        <v>1</v>
      </c>
      <c r="K39" s="8" t="n">
        <f aca="false">IF(J39=0,"unstaffed",ROUND(F39/J39,0))</f>
        <v>110</v>
      </c>
      <c r="L39" s="22" t="n">
        <f aca="false">IF(J39=0,"unstaffed",ROUND(G39/J39,1))</f>
        <v>41</v>
      </c>
      <c r="M39" s="23" t="n">
        <f aca="false">H39/F39</f>
        <v>0.618181818181818</v>
      </c>
      <c r="N39" s="24" t="n">
        <v>107190</v>
      </c>
      <c r="O39" s="25" t="n">
        <v>71822</v>
      </c>
      <c r="P39" s="26" t="n">
        <v>34.3</v>
      </c>
      <c r="Q39" s="27" t="n">
        <f aca="false">IF(J39=0,"unstaffed",ROUND((20*100*(K39-MIN($K$4:$K$54))/(MAX($K$4:$K$54)-MIN($K$4:$K$54))+60*100*(L39-MIN($L$4:$L$54))/(MAX($L$4:$L$54)-MIN($L$4:$L$54))+10*100*(N39-MIN($N$4:$N$54))/(MAX($N$4:$N$54)-MIN($N$4:$N$54))+10*100*(O39-MIN($O$4:$O$54))/(MAX($O$4:$O$54)-MIN($O$4:$O$54)))/100,1))</f>
        <v>7</v>
      </c>
      <c r="R39" s="7" t="n">
        <f aca="false">IF(J39=0,"n/a",RANK(Q39,$Q$4:$Q$54))</f>
        <v>40</v>
      </c>
    </row>
    <row r="40" customFormat="false" ht="15" hidden="false" customHeight="true" outlineLevel="0" collapsed="false">
      <c r="E40" s="7" t="s">
        <v>161</v>
      </c>
      <c r="F40" s="8" t="n">
        <v>107</v>
      </c>
      <c r="G40" s="8" t="n">
        <v>41</v>
      </c>
      <c r="H40" s="8" t="n">
        <v>69</v>
      </c>
      <c r="I40" s="8" t="n">
        <v>22</v>
      </c>
      <c r="J40" s="21" t="n">
        <v>1</v>
      </c>
      <c r="K40" s="8" t="n">
        <f aca="false">IF(J40=0,"unstaffed",ROUND(F40/J40,0))</f>
        <v>107</v>
      </c>
      <c r="L40" s="22" t="n">
        <f aca="false">IF(J40=0,"unstaffed",ROUND(G40/J40,1))</f>
        <v>41</v>
      </c>
      <c r="M40" s="23" t="n">
        <f aca="false">H40/F40</f>
        <v>0.644859813084112</v>
      </c>
      <c r="N40" s="24" t="n">
        <v>153625</v>
      </c>
      <c r="O40" s="25" t="n">
        <v>57956</v>
      </c>
      <c r="P40" s="26" t="n">
        <v>23.1</v>
      </c>
      <c r="Q40" s="27" t="n">
        <f aca="false">IF(J40=0,"unstaffed",ROUND((20*100*(K40-MIN($K$4:$K$54))/(MAX($K$4:$K$54)-MIN($K$4:$K$54))+60*100*(L40-MIN($L$4:$L$54))/(MAX($L$4:$L$54)-MIN($L$4:$L$54))+10*100*(N40-MIN($N$4:$N$54))/(MAX($N$4:$N$54)-MIN($N$4:$N$54))+10*100*(O40-MIN($O$4:$O$54))/(MAX($O$4:$O$54)-MIN($O$4:$O$54)))/100,1))</f>
        <v>4.4</v>
      </c>
      <c r="R40" s="7" t="n">
        <f aca="false">IF(J40=0,"n/a",RANK(Q40,$Q$4:$Q$54))</f>
        <v>49</v>
      </c>
    </row>
    <row r="41" customFormat="false" ht="15" hidden="false" customHeight="true" outlineLevel="0" collapsed="false">
      <c r="E41" s="7" t="s">
        <v>139</v>
      </c>
      <c r="F41" s="8" t="n">
        <v>142</v>
      </c>
      <c r="G41" s="8" t="n">
        <v>34</v>
      </c>
      <c r="H41" s="8" t="n">
        <v>44</v>
      </c>
      <c r="I41" s="8" t="n">
        <v>12</v>
      </c>
      <c r="J41" s="21" t="n">
        <v>1</v>
      </c>
      <c r="K41" s="8" t="n">
        <f aca="false">IF(J41=0,"unstaffed",ROUND(F41/J41,0))</f>
        <v>142</v>
      </c>
      <c r="L41" s="22" t="n">
        <f aca="false">IF(J41=0,"unstaffed",ROUND(G41/J41,1))</f>
        <v>34</v>
      </c>
      <c r="M41" s="23" t="n">
        <f aca="false">H41/F41</f>
        <v>0.309859154929577</v>
      </c>
      <c r="N41" s="24" t="n">
        <v>199112</v>
      </c>
      <c r="O41" s="25" t="n">
        <v>75937</v>
      </c>
      <c r="P41" s="26" t="n">
        <v>33.5</v>
      </c>
      <c r="Q41" s="27" t="n">
        <f aca="false">IF(J41=0,"unstaffed",ROUND((20*100*(K41-MIN($K$4:$K$54))/(MAX($K$4:$K$54)-MIN($K$4:$K$54))+60*100*(L41-MIN($L$4:$L$54))/(MAX($L$4:$L$54)-MIN($L$4:$L$54))+10*100*(N41-MIN($N$4:$N$54))/(MAX($N$4:$N$54)-MIN($N$4:$N$54))+10*100*(O41-MIN($O$4:$O$54))/(MAX($O$4:$O$54)-MIN($O$4:$O$54)))/100,1))</f>
        <v>7.8</v>
      </c>
      <c r="R41" s="7" t="n">
        <f aca="false">IF(J41=0,"n/a",RANK(Q41,$Q$4:$Q$54))</f>
        <v>39</v>
      </c>
    </row>
    <row r="42" customFormat="false" ht="15" hidden="false" customHeight="true" outlineLevel="0" collapsed="false">
      <c r="E42" s="7" t="s">
        <v>115</v>
      </c>
      <c r="F42" s="8" t="n">
        <v>80</v>
      </c>
      <c r="G42" s="8" t="n">
        <v>40</v>
      </c>
      <c r="H42" s="8" t="n">
        <v>44</v>
      </c>
      <c r="I42" s="8" t="n">
        <v>13</v>
      </c>
      <c r="J42" s="21" t="n">
        <v>1</v>
      </c>
      <c r="K42" s="8" t="n">
        <f aca="false">IF(J42=0,"unstaffed",ROUND(F42/J42,0))</f>
        <v>80</v>
      </c>
      <c r="L42" s="22" t="n">
        <f aca="false">IF(J42=0,"unstaffed",ROUND(G42/J42,1))</f>
        <v>40</v>
      </c>
      <c r="M42" s="23" t="n">
        <f aca="false">H42/F42</f>
        <v>0.55</v>
      </c>
      <c r="N42" s="24" t="n">
        <v>121109</v>
      </c>
      <c r="O42" s="25" t="n">
        <v>97980</v>
      </c>
      <c r="P42" s="26" t="n">
        <v>34.2</v>
      </c>
      <c r="Q42" s="27" t="n">
        <f aca="false">IF(J42=0,"unstaffed",ROUND((20*100*(K42-MIN($K$4:$K$54))/(MAX($K$4:$K$54)-MIN($K$4:$K$54))+60*100*(L42-MIN($L$4:$L$54))/(MAX($L$4:$L$54)-MIN($L$4:$L$54))+10*100*(N42-MIN($N$4:$N$54))/(MAX($N$4:$N$54)-MIN($N$4:$N$54))+10*100*(O42-MIN($O$4:$O$54))/(MAX($O$4:$O$54)-MIN($O$4:$O$54)))/100,1))</f>
        <v>11.8</v>
      </c>
      <c r="R42" s="7" t="n">
        <f aca="false">IF(J42=0,"n/a",RANK(Q42,$Q$4:$Q$54))</f>
        <v>29</v>
      </c>
    </row>
    <row r="43" customFormat="false" ht="15" hidden="false" customHeight="true" outlineLevel="0" collapsed="false">
      <c r="E43" s="7" t="s">
        <v>136</v>
      </c>
      <c r="F43" s="8" t="n">
        <v>69</v>
      </c>
      <c r="G43" s="8" t="n">
        <v>37</v>
      </c>
      <c r="H43" s="8" t="n">
        <v>36</v>
      </c>
      <c r="I43" s="8" t="n">
        <v>19</v>
      </c>
      <c r="J43" s="21" t="n">
        <v>1</v>
      </c>
      <c r="K43" s="8" t="n">
        <f aca="false">IF(J43=0,"unstaffed",ROUND(F43/J43,0))</f>
        <v>69</v>
      </c>
      <c r="L43" s="22" t="n">
        <f aca="false">IF(J43=0,"unstaffed",ROUND(G43/J43,1))</f>
        <v>37</v>
      </c>
      <c r="M43" s="23" t="n">
        <f aca="false">H43/F43</f>
        <v>0.521739130434783</v>
      </c>
      <c r="N43" s="24" t="n">
        <v>96562</v>
      </c>
      <c r="O43" s="25" t="n">
        <v>67974</v>
      </c>
      <c r="P43" s="26" t="n">
        <v>34.1</v>
      </c>
      <c r="Q43" s="27" t="n">
        <f aca="false">IF(J43=0,"unstaffed",ROUND((20*100*(K43-MIN($K$4:$K$54))/(MAX($K$4:$K$54)-MIN($K$4:$K$54))+60*100*(L43-MIN($L$4:$L$54))/(MAX($L$4:$L$54)-MIN($L$4:$L$54))+10*100*(N43-MIN($N$4:$N$54))/(MAX($N$4:$N$54)-MIN($N$4:$N$54))+10*100*(O43-MIN($O$4:$O$54))/(MAX($O$4:$O$54)-MIN($O$4:$O$54)))/100,1))</f>
        <v>5.4</v>
      </c>
      <c r="R43" s="7" t="n">
        <f aca="false">IF(J43=0,"n/a",RANK(Q43,$Q$4:$Q$54))</f>
        <v>44</v>
      </c>
    </row>
    <row r="44" customFormat="false" ht="15" hidden="false" customHeight="true" outlineLevel="0" collapsed="false">
      <c r="E44" s="7" t="s">
        <v>118</v>
      </c>
      <c r="F44" s="8" t="n">
        <v>102</v>
      </c>
      <c r="G44" s="8" t="n">
        <v>32</v>
      </c>
      <c r="H44" s="8" t="n">
        <v>44</v>
      </c>
      <c r="I44" s="8" t="n">
        <v>12</v>
      </c>
      <c r="J44" s="21" t="n">
        <v>1</v>
      </c>
      <c r="K44" s="8" t="n">
        <f aca="false">IF(J44=0,"unstaffed",ROUND(F44/J44,0))</f>
        <v>102</v>
      </c>
      <c r="L44" s="22" t="n">
        <f aca="false">IF(J44=0,"unstaffed",ROUND(G44/J44,1))</f>
        <v>32</v>
      </c>
      <c r="M44" s="23" t="n">
        <f aca="false">H44/F44</f>
        <v>0.431372549019608</v>
      </c>
      <c r="N44" s="24" t="n">
        <v>198809</v>
      </c>
      <c r="O44" s="25" t="n">
        <v>71738</v>
      </c>
      <c r="P44" s="26" t="n">
        <v>30.2</v>
      </c>
      <c r="Q44" s="27" t="n">
        <f aca="false">IF(J44=0,"unstaffed",ROUND((20*100*(K44-MIN($K$4:$K$54))/(MAX($K$4:$K$54)-MIN($K$4:$K$54))+60*100*(L44-MIN($L$4:$L$54))/(MAX($L$4:$L$54)-MIN($L$4:$L$54))+10*100*(N44-MIN($N$4:$N$54))/(MAX($N$4:$N$54)-MIN($N$4:$N$54))+10*100*(O44-MIN($O$4:$O$54))/(MAX($O$4:$O$54)-MIN($O$4:$O$54)))/100,1))</f>
        <v>6.3</v>
      </c>
      <c r="R44" s="7" t="n">
        <f aca="false">IF(J44=0,"n/a",RANK(Q44,$Q$4:$Q$54))</f>
        <v>43</v>
      </c>
    </row>
    <row r="45" customFormat="false" ht="15" hidden="false" customHeight="true" outlineLevel="0" collapsed="false">
      <c r="E45" s="7" t="s">
        <v>142</v>
      </c>
      <c r="F45" s="8" t="n">
        <v>86</v>
      </c>
      <c r="G45" s="8" t="n">
        <v>30</v>
      </c>
      <c r="H45" s="8" t="n">
        <v>36</v>
      </c>
      <c r="I45" s="8" t="n">
        <v>11</v>
      </c>
      <c r="J45" s="21" t="n">
        <v>1</v>
      </c>
      <c r="K45" s="8" t="n">
        <f aca="false">IF(J45=0,"unstaffed",ROUND(F45/J45,0))</f>
        <v>86</v>
      </c>
      <c r="L45" s="22" t="n">
        <f aca="false">IF(J45=0,"unstaffed",ROUND(G45/J45,1))</f>
        <v>30</v>
      </c>
      <c r="M45" s="23" t="n">
        <f aca="false">H45/F45</f>
        <v>0.418604651162791</v>
      </c>
      <c r="N45" s="24" t="n">
        <v>203268</v>
      </c>
      <c r="O45" s="25" t="n">
        <v>60508</v>
      </c>
      <c r="P45" s="26" t="n">
        <v>28.4</v>
      </c>
      <c r="Q45" s="27" t="n">
        <f aca="false">IF(J45=0,"unstaffed",ROUND((20*100*(K45-MIN($K$4:$K$54))/(MAX($K$4:$K$54)-MIN($K$4:$K$54))+60*100*(L45-MIN($L$4:$L$54))/(MAX($L$4:$L$54)-MIN($L$4:$L$54))+10*100*(N45-MIN($N$4:$N$54))/(MAX($N$4:$N$54)-MIN($N$4:$N$54))+10*100*(O45-MIN($O$4:$O$54))/(MAX($O$4:$O$54)-MIN($O$4:$O$54)))/100,1))</f>
        <v>3.7</v>
      </c>
      <c r="R45" s="7" t="n">
        <f aca="false">IF(J45=0,"n/a",RANK(Q45,$Q$4:$Q$54))</f>
        <v>51</v>
      </c>
    </row>
    <row r="46" customFormat="false" ht="15" hidden="false" customHeight="true" outlineLevel="0" collapsed="false">
      <c r="E46" s="7" t="s">
        <v>140</v>
      </c>
      <c r="F46" s="8" t="n">
        <v>92</v>
      </c>
      <c r="G46" s="8" t="n">
        <v>26</v>
      </c>
      <c r="H46" s="8" t="n">
        <v>52</v>
      </c>
      <c r="I46" s="8" t="n">
        <v>17</v>
      </c>
      <c r="J46" s="21" t="n">
        <v>1</v>
      </c>
      <c r="K46" s="8" t="n">
        <f aca="false">IF(J46=0,"unstaffed",ROUND(F46/J46,0))</f>
        <v>92</v>
      </c>
      <c r="L46" s="22" t="n">
        <f aca="false">IF(J46=0,"unstaffed",ROUND(G46/J46,1))</f>
        <v>26</v>
      </c>
      <c r="M46" s="23" t="n">
        <f aca="false">H46/F46</f>
        <v>0.565217391304348</v>
      </c>
      <c r="N46" s="24" t="n">
        <v>112186</v>
      </c>
      <c r="O46" s="25" t="n">
        <v>95609</v>
      </c>
      <c r="P46" s="26" t="n">
        <v>39.5</v>
      </c>
      <c r="Q46" s="27" t="n">
        <f aca="false">IF(J46=0,"unstaffed",ROUND((20*100*(K46-MIN($K$4:$K$54))/(MAX($K$4:$K$54)-MIN($K$4:$K$54))+60*100*(L46-MIN($L$4:$L$54))/(MAX($L$4:$L$54)-MIN($L$4:$L$54))+10*100*(N46-MIN($N$4:$N$54))/(MAX($N$4:$N$54)-MIN($N$4:$N$54))+10*100*(O46-MIN($O$4:$O$54))/(MAX($O$4:$O$54)-MIN($O$4:$O$54)))/100,1))</f>
        <v>10.1</v>
      </c>
      <c r="R46" s="7" t="n">
        <f aca="false">IF(J46=0,"n/a",RANK(Q46,$Q$4:$Q$54))</f>
        <v>33</v>
      </c>
    </row>
    <row r="47" customFormat="false" ht="15" hidden="false" customHeight="true" outlineLevel="0" collapsed="false">
      <c r="E47" s="7" t="s">
        <v>94</v>
      </c>
      <c r="F47" s="8" t="n">
        <v>50</v>
      </c>
      <c r="G47" s="8" t="n">
        <v>25</v>
      </c>
      <c r="H47" s="8" t="n">
        <v>13</v>
      </c>
      <c r="I47" s="8" t="n">
        <v>8</v>
      </c>
      <c r="J47" s="21" t="n">
        <v>1</v>
      </c>
      <c r="K47" s="8" t="n">
        <f aca="false">IF(J47=0,"unstaffed",ROUND(F47/J47,0))</f>
        <v>50</v>
      </c>
      <c r="L47" s="22" t="n">
        <f aca="false">IF(J47=0,"unstaffed",ROUND(G47/J47,1))</f>
        <v>25</v>
      </c>
      <c r="M47" s="23" t="n">
        <f aca="false">H47/F47</f>
        <v>0.26</v>
      </c>
      <c r="N47" s="24" t="n">
        <v>71498</v>
      </c>
      <c r="O47" s="25" t="n">
        <v>88446</v>
      </c>
      <c r="P47" s="26" t="n">
        <v>30.4</v>
      </c>
      <c r="Q47" s="27" t="n">
        <f aca="false">IF(J47=0,"unstaffed",ROUND((20*100*(K47-MIN($K$4:$K$54))/(MAX($K$4:$K$54)-MIN($K$4:$K$54))+60*100*(L47-MIN($L$4:$L$54))/(MAX($L$4:$L$54)-MIN($L$4:$L$54))+10*100*(N47-MIN($N$4:$N$54))/(MAX($N$4:$N$54)-MIN($N$4:$N$54))+10*100*(O47-MIN($O$4:$O$54))/(MAX($O$4:$O$54)-MIN($O$4:$O$54)))/100,1))</f>
        <v>8</v>
      </c>
      <c r="R47" s="7" t="n">
        <f aca="false">IF(J47=0,"n/a",RANK(Q47,$Q$4:$Q$54))</f>
        <v>37</v>
      </c>
    </row>
    <row r="48" customFormat="false" ht="15" hidden="false" customHeight="true" outlineLevel="0" collapsed="false">
      <c r="E48" s="7" t="s">
        <v>149</v>
      </c>
      <c r="F48" s="8" t="n">
        <v>77</v>
      </c>
      <c r="G48" s="8" t="n">
        <v>19</v>
      </c>
      <c r="H48" s="8" t="n">
        <v>34</v>
      </c>
      <c r="I48" s="8" t="n">
        <v>7</v>
      </c>
      <c r="J48" s="21" t="n">
        <v>1</v>
      </c>
      <c r="K48" s="8" t="n">
        <f aca="false">IF(J48=0,"unstaffed",ROUND(F48/J48,0))</f>
        <v>77</v>
      </c>
      <c r="L48" s="22" t="n">
        <f aca="false">IF(J48=0,"unstaffed",ROUND(G48/J48,1))</f>
        <v>19</v>
      </c>
      <c r="M48" s="23" t="n">
        <f aca="false">H48/F48</f>
        <v>0.441558441558442</v>
      </c>
      <c r="N48" s="24" t="n">
        <v>93799</v>
      </c>
      <c r="O48" s="25" t="n">
        <v>83623</v>
      </c>
      <c r="P48" s="26" t="n">
        <v>36.4</v>
      </c>
      <c r="Q48" s="27" t="n">
        <f aca="false">IF(J48=0,"unstaffed",ROUND((20*100*(K48-MIN($K$4:$K$54))/(MAX($K$4:$K$54)-MIN($K$4:$K$54))+60*100*(L48-MIN($L$4:$L$54))/(MAX($L$4:$L$54)-MIN($L$4:$L$54))+10*100*(N48-MIN($N$4:$N$54))/(MAX($N$4:$N$54)-MIN($N$4:$N$54))+10*100*(O48-MIN($O$4:$O$54))/(MAX($O$4:$O$54)-MIN($O$4:$O$54)))/100,1))</f>
        <v>6.8</v>
      </c>
      <c r="R48" s="7" t="n">
        <f aca="false">IF(J48=0,"n/a",RANK(Q48,$Q$4:$Q$54))</f>
        <v>41</v>
      </c>
    </row>
    <row r="49" customFormat="false" ht="15" hidden="false" customHeight="true" outlineLevel="0" collapsed="false">
      <c r="E49" s="7" t="s">
        <v>151</v>
      </c>
      <c r="F49" s="8" t="n">
        <v>74</v>
      </c>
      <c r="G49" s="8" t="n">
        <v>19</v>
      </c>
      <c r="H49" s="8" t="n">
        <v>54</v>
      </c>
      <c r="I49" s="8" t="n">
        <v>10</v>
      </c>
      <c r="J49" s="21" t="n">
        <v>1</v>
      </c>
      <c r="K49" s="8" t="n">
        <f aca="false">IF(J49=0,"unstaffed",ROUND(F49/J49,0))</f>
        <v>74</v>
      </c>
      <c r="L49" s="22" t="n">
        <f aca="false">IF(J49=0,"unstaffed",ROUND(G49/J49,1))</f>
        <v>19</v>
      </c>
      <c r="M49" s="23" t="n">
        <f aca="false">H49/F49</f>
        <v>0.72972972972973</v>
      </c>
      <c r="N49" s="24" t="n">
        <v>88604</v>
      </c>
      <c r="O49" s="25" t="n">
        <v>70011</v>
      </c>
      <c r="P49" s="26" t="n">
        <v>30.6</v>
      </c>
      <c r="Q49" s="27" t="n">
        <f aca="false">IF(J49=0,"unstaffed",ROUND((20*100*(K49-MIN($K$4:$K$54))/(MAX($K$4:$K$54)-MIN($K$4:$K$54))+60*100*(L49-MIN($L$4:$L$54))/(MAX($L$4:$L$54)-MIN($L$4:$L$54))+10*100*(N49-MIN($N$4:$N$54))/(MAX($N$4:$N$54)-MIN($N$4:$N$54))+10*100*(O49-MIN($O$4:$O$54))/(MAX($O$4:$O$54)-MIN($O$4:$O$54)))/100,1))</f>
        <v>4.1</v>
      </c>
      <c r="R49" s="7" t="n">
        <f aca="false">IF(J49=0,"n/a",RANK(Q49,$Q$4:$Q$54))</f>
        <v>50</v>
      </c>
    </row>
    <row r="50" customFormat="false" ht="15" hidden="false" customHeight="true" outlineLevel="0" collapsed="false">
      <c r="E50" s="7" t="s">
        <v>162</v>
      </c>
      <c r="F50" s="8" t="n">
        <v>39</v>
      </c>
      <c r="G50" s="8" t="n">
        <v>23</v>
      </c>
      <c r="H50" s="8" t="n">
        <v>22</v>
      </c>
      <c r="I50" s="8" t="n">
        <v>13</v>
      </c>
      <c r="J50" s="21" t="n">
        <v>1</v>
      </c>
      <c r="K50" s="8" t="n">
        <f aca="false">IF(J50=0,"unstaffed",ROUND(F50/J50,0))</f>
        <v>39</v>
      </c>
      <c r="L50" s="22" t="n">
        <f aca="false">IF(J50=0,"unstaffed",ROUND(G50/J50,1))</f>
        <v>23</v>
      </c>
      <c r="M50" s="23" t="n">
        <f aca="false">H50/F50</f>
        <v>0.564102564102564</v>
      </c>
      <c r="N50" s="24" t="n">
        <v>55437</v>
      </c>
      <c r="O50" s="25" t="n">
        <v>74678</v>
      </c>
      <c r="P50" s="26" t="n">
        <v>29</v>
      </c>
      <c r="Q50" s="27" t="n">
        <f aca="false">IF(J50=0,"unstaffed",ROUND((20*100*(K50-MIN($K$4:$K$54))/(MAX($K$4:$K$54)-MIN($K$4:$K$54))+60*100*(L50-MIN($L$4:$L$54))/(MAX($L$4:$L$54)-MIN($L$4:$L$54))+10*100*(N50-MIN($N$4:$N$54))/(MAX($N$4:$N$54)-MIN($N$4:$N$54))+10*100*(O50-MIN($O$4:$O$54))/(MAX($O$4:$O$54)-MIN($O$4:$O$54)))/100,1))</f>
        <v>4.9</v>
      </c>
      <c r="R50" s="7" t="n">
        <f aca="false">IF(J50=0,"n/a",RANK(Q50,$Q$4:$Q$54))</f>
        <v>46</v>
      </c>
    </row>
    <row r="51" customFormat="false" ht="15" hidden="false" customHeight="true" outlineLevel="0" collapsed="false">
      <c r="E51" s="7" t="s">
        <v>138</v>
      </c>
      <c r="F51" s="8" t="n">
        <v>53</v>
      </c>
      <c r="G51" s="8" t="n">
        <v>18</v>
      </c>
      <c r="H51" s="8" t="n">
        <v>34</v>
      </c>
      <c r="I51" s="8" t="n">
        <v>9</v>
      </c>
      <c r="J51" s="21" t="n">
        <v>1</v>
      </c>
      <c r="K51" s="8" t="n">
        <f aca="false">IF(J51=0,"unstaffed",ROUND(F51/J51,0))</f>
        <v>53</v>
      </c>
      <c r="L51" s="22" t="n">
        <f aca="false">IF(J51=0,"unstaffed",ROUND(G51/J51,1))</f>
        <v>18</v>
      </c>
      <c r="M51" s="23" t="n">
        <f aca="false">H51/F51</f>
        <v>0.641509433962264</v>
      </c>
      <c r="N51" s="24" t="n">
        <v>74858</v>
      </c>
      <c r="O51" s="25" t="n">
        <v>75604</v>
      </c>
      <c r="P51" s="26" t="n">
        <v>32</v>
      </c>
      <c r="Q51" s="27" t="n">
        <f aca="false">IF(J51=0,"unstaffed",ROUND((20*100*(K51-MIN($K$4:$K$54))/(MAX($K$4:$K$54)-MIN($K$4:$K$54))+60*100*(L51-MIN($L$4:$L$54))/(MAX($L$4:$L$54)-MIN($L$4:$L$54))+10*100*(N51-MIN($N$4:$N$54))/(MAX($N$4:$N$54)-MIN($N$4:$N$54))+10*100*(O51-MIN($O$4:$O$54))/(MAX($O$4:$O$54)-MIN($O$4:$O$54)))/100,1))</f>
        <v>4.8</v>
      </c>
      <c r="R51" s="7" t="n">
        <f aca="false">IF(J51=0,"n/a",RANK(Q51,$Q$4:$Q$54))</f>
        <v>47</v>
      </c>
    </row>
    <row r="52" customFormat="false" ht="15" hidden="false" customHeight="true" outlineLevel="0" collapsed="false">
      <c r="E52" s="7" t="s">
        <v>158</v>
      </c>
      <c r="F52" s="8" t="n">
        <v>32</v>
      </c>
      <c r="G52" s="8" t="n">
        <v>17</v>
      </c>
      <c r="H52" s="8" t="n">
        <v>19</v>
      </c>
      <c r="I52" s="8" t="n">
        <v>10</v>
      </c>
      <c r="J52" s="21" t="n">
        <v>1</v>
      </c>
      <c r="K52" s="8" t="n">
        <f aca="false">IF(J52=0,"unstaffed",ROUND(F52/J52,0))</f>
        <v>32</v>
      </c>
      <c r="L52" s="22" t="n">
        <f aca="false">IF(J52=0,"unstaffed",ROUND(G52/J52,1))</f>
        <v>17</v>
      </c>
      <c r="M52" s="23" t="n">
        <f aca="false">H52/F52</f>
        <v>0.59375</v>
      </c>
      <c r="N52" s="24" t="n">
        <v>52637</v>
      </c>
      <c r="O52" s="25" t="n">
        <v>76895</v>
      </c>
      <c r="P52" s="26" t="n">
        <v>41.8</v>
      </c>
      <c r="Q52" s="27" t="n">
        <f aca="false">IF(J52=0,"unstaffed",ROUND((20*100*(K52-MIN($K$4:$K$54))/(MAX($K$4:$K$54)-MIN($K$4:$K$54))+60*100*(L52-MIN($L$4:$L$54))/(MAX($L$4:$L$54)-MIN($L$4:$L$54))+10*100*(N52-MIN($N$4:$N$54))/(MAX($N$4:$N$54)-MIN($N$4:$N$54))+10*100*(O52-MIN($O$4:$O$54))/(MAX($O$4:$O$54)-MIN($O$4:$O$54)))/100,1))</f>
        <v>4.7</v>
      </c>
      <c r="R52" s="7" t="n">
        <f aca="false">IF(J52=0,"n/a",RANK(Q52,$Q$4:$Q$54))</f>
        <v>48</v>
      </c>
    </row>
    <row r="53" customFormat="false" ht="15" hidden="false" customHeight="true" outlineLevel="0" collapsed="false">
      <c r="E53" s="7" t="s">
        <v>108</v>
      </c>
      <c r="F53" s="8" t="n">
        <v>34</v>
      </c>
      <c r="G53" s="8" t="n">
        <v>16</v>
      </c>
      <c r="H53" s="8" t="n">
        <v>12</v>
      </c>
      <c r="I53" s="8" t="n">
        <v>7</v>
      </c>
      <c r="J53" s="21" t="n">
        <v>1</v>
      </c>
      <c r="K53" s="8" t="n">
        <f aca="false">IF(J53=0,"unstaffed",ROUND(F53/J53,0))</f>
        <v>34</v>
      </c>
      <c r="L53" s="22" t="n">
        <f aca="false">IF(J53=0,"unstaffed",ROUND(G53/J53,1))</f>
        <v>16</v>
      </c>
      <c r="M53" s="23" t="n">
        <f aca="false">H53/F53</f>
        <v>0.352941176470588</v>
      </c>
      <c r="N53" s="24" t="n">
        <v>49831</v>
      </c>
      <c r="O53" s="25" t="n">
        <v>105644</v>
      </c>
      <c r="P53" s="26" t="n">
        <v>61.1</v>
      </c>
      <c r="Q53" s="27" t="n">
        <f aca="false">IF(J53=0,"unstaffed",ROUND((20*100*(K53-MIN($K$4:$K$54))/(MAX($K$4:$K$54)-MIN($K$4:$K$54))+60*100*(L53-MIN($L$4:$L$54))/(MAX($L$4:$L$54)-MIN($L$4:$L$54))+10*100*(N53-MIN($N$4:$N$54))/(MAX($N$4:$N$54)-MIN($N$4:$N$54))+10*100*(O53-MIN($O$4:$O$54))/(MAX($O$4:$O$54)-MIN($O$4:$O$54)))/100,1))</f>
        <v>10.3</v>
      </c>
      <c r="R53" s="7" t="n">
        <f aca="false">IF(J53=0,"n/a",RANK(Q53,$Q$4:$Q$54))</f>
        <v>32</v>
      </c>
    </row>
    <row r="54" customFormat="false" ht="15" hidden="false" customHeight="true" outlineLevel="0" collapsed="false">
      <c r="E54" s="7" t="s">
        <v>110</v>
      </c>
      <c r="F54" s="8" t="n">
        <v>28</v>
      </c>
      <c r="G54" s="8" t="n">
        <v>14</v>
      </c>
      <c r="H54" s="8" t="n">
        <v>3</v>
      </c>
      <c r="I54" s="8" t="n">
        <v>2</v>
      </c>
      <c r="J54" s="21" t="n">
        <v>1</v>
      </c>
      <c r="K54" s="8" t="n">
        <f aca="false">IF(J54=0,"unstaffed",ROUND(F54/J54,0))</f>
        <v>28</v>
      </c>
      <c r="L54" s="22" t="n">
        <f aca="false">IF(J54=0,"unstaffed",ROUND(G54/J54,1))</f>
        <v>14</v>
      </c>
      <c r="M54" s="23" t="n">
        <f aca="false">H54/F54</f>
        <v>0.107142857142857</v>
      </c>
      <c r="N54" s="24" t="n">
        <v>88852</v>
      </c>
      <c r="O54" s="25" t="n">
        <v>82098</v>
      </c>
      <c r="P54" s="26" t="n">
        <v>33.8</v>
      </c>
      <c r="Q54" s="27" t="n">
        <f aca="false">IF(J54=0,"unstaffed",ROUND((20*100*(K54-MIN($K$4:$K$54))/(MAX($K$4:$K$54)-MIN($K$4:$K$54))+60*100*(L54-MIN($L$4:$L$54))/(MAX($L$4:$L$54)-MIN($L$4:$L$54))+10*100*(N54-MIN($N$4:$N$54))/(MAX($N$4:$N$54)-MIN($N$4:$N$54))+10*100*(O54-MIN($O$4:$O$54))/(MAX($O$4:$O$54)-MIN($O$4:$O$54)))/100,1))</f>
        <v>5.4</v>
      </c>
      <c r="R54" s="7" t="n">
        <f aca="false">IF(J54=0,"n/a",RANK(Q54,$Q$4:$Q$54))</f>
        <v>44</v>
      </c>
    </row>
    <row r="55" customFormat="false" ht="15" hidden="false" customHeight="true" outlineLevel="0" collapsed="false">
      <c r="E55" s="11" t="s">
        <v>74</v>
      </c>
      <c r="F55" s="18" t="n">
        <f aca="false">SUM(F4:F54)</f>
        <v>18405</v>
      </c>
      <c r="G55" s="18" t="n">
        <f aca="false">SUM(G4:G54)</f>
        <v>5862</v>
      </c>
      <c r="H55" s="18" t="n">
        <f aca="false">SUM(H4:H54)</f>
        <v>7524</v>
      </c>
      <c r="I55" s="18" t="n">
        <f aca="false">SUM(I4:I54)</f>
        <v>2208</v>
      </c>
      <c r="J55" s="18" t="n">
        <f aca="false">SUM(J4:J54)</f>
        <v>51</v>
      </c>
      <c r="K55" s="18" t="n">
        <f aca="false">ROUND(F55/J55,0)</f>
        <v>361</v>
      </c>
      <c r="L55" s="28" t="n">
        <f aca="false">ROUND(G55/J55,1)</f>
        <v>114.9</v>
      </c>
      <c r="M55" s="29" t="n">
        <f aca="false">H55/F55</f>
        <v>0.40880195599022</v>
      </c>
      <c r="N55" s="18" t="n">
        <f aca="false">SUM(N4:N54)</f>
        <v>30870179</v>
      </c>
      <c r="O55" s="11"/>
      <c r="P55" s="11"/>
      <c r="Q55" s="11"/>
      <c r="R55" s="11"/>
    </row>
    <row r="57" customFormat="false" ht="36" hidden="false" customHeight="true" outlineLevel="0" collapsed="false">
      <c r="E57" s="9" t="s">
        <v>180</v>
      </c>
      <c r="F57" s="9"/>
      <c r="G57" s="9"/>
      <c r="H57" s="9"/>
      <c r="I57" s="9"/>
      <c r="J57" s="9"/>
      <c r="K57" s="9"/>
      <c r="L57" s="9"/>
      <c r="M57" s="9"/>
      <c r="N57" s="9"/>
      <c r="O57" s="9"/>
      <c r="P57" s="9"/>
      <c r="Q57" s="9"/>
      <c r="R57" s="9"/>
    </row>
  </sheetData>
  <mergeCells count="2">
    <mergeCell ref="E1:R1"/>
    <mergeCell ref="E57:R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30"/>
    <col collapsed="false" customWidth="true" hidden="false" outlineLevel="0" max="4" min="4" style="1" width="9"/>
    <col collapsed="false" customWidth="true" hidden="false" outlineLevel="0" max="5" min="5" style="1" width="10"/>
    <col collapsed="false" customWidth="true" hidden="false" outlineLevel="0" max="6" min="6" style="1" width="14"/>
    <col collapsed="false" customWidth="true" hidden="false" outlineLevel="0" max="7" min="7" style="1" width="10"/>
    <col collapsed="false" customWidth="true" hidden="false" outlineLevel="0" max="8" min="8" style="1" width="11"/>
    <col collapsed="false" customWidth="true" hidden="false" outlineLevel="0" max="9" min="9" style="1" width="13"/>
    <col collapsed="false" customWidth="true" hidden="false" outlineLevel="0" max="10" min="10" style="1" width="12"/>
    <col collapsed="false" customWidth="true" hidden="false" outlineLevel="0" max="11" min="11" style="1" width="9"/>
    <col collapsed="false" customWidth="true" hidden="false" outlineLevel="0" max="14" min="12" style="1" width="8"/>
    <col collapsed="false" customWidth="true" hidden="false" outlineLevel="0" max="15" min="15" style="1" width="9"/>
  </cols>
  <sheetData>
    <row r="1" customFormat="false" ht="34.5" hidden="false" customHeight="true" outlineLevel="0" collapsed="false">
      <c r="A1" s="20" t="s">
        <v>93</v>
      </c>
      <c r="B1" s="20" t="s">
        <v>58</v>
      </c>
      <c r="C1" s="20" t="s">
        <v>181</v>
      </c>
      <c r="D1" s="20" t="s">
        <v>91</v>
      </c>
      <c r="E1" s="20" t="s">
        <v>92</v>
      </c>
      <c r="F1" s="20" t="s">
        <v>182</v>
      </c>
      <c r="G1" s="20" t="s">
        <v>183</v>
      </c>
      <c r="H1" s="20" t="s">
        <v>184</v>
      </c>
      <c r="I1" s="20" t="s">
        <v>185</v>
      </c>
      <c r="J1" s="20" t="s">
        <v>186</v>
      </c>
      <c r="K1" s="20" t="s">
        <v>187</v>
      </c>
      <c r="L1" s="20" t="s">
        <v>188</v>
      </c>
      <c r="M1" s="20" t="s">
        <v>189</v>
      </c>
      <c r="N1" s="20" t="s">
        <v>190</v>
      </c>
      <c r="O1" s="20" t="s">
        <v>191</v>
      </c>
    </row>
    <row r="2" customFormat="false" ht="15" hidden="false" customHeight="true" outlineLevel="0" collapsed="false">
      <c r="A2" s="7" t="s">
        <v>154</v>
      </c>
      <c r="B2" s="7" t="s">
        <v>62</v>
      </c>
      <c r="C2" s="7" t="s">
        <v>192</v>
      </c>
      <c r="D2" s="8" t="n">
        <f aca="false">SUMIF('State Market Summary'!$T$4:$T$54,$A2,'State Market Summary'!$B$4:$B$54)</f>
        <v>1660</v>
      </c>
      <c r="E2" s="8" t="n">
        <f aca="false">SUMIF('State Market Summary'!$T$4:$T$54,$A2,'State Market Summary'!$C$4:$C$54)</f>
        <v>540</v>
      </c>
      <c r="F2" s="21" t="n">
        <v>2</v>
      </c>
      <c r="G2" s="8" t="n">
        <f aca="false">IF(F2=0,"unstaffed",ROUND(D2/F2,0))</f>
        <v>830</v>
      </c>
      <c r="H2" s="22" t="n">
        <f aca="false">IF(F2=0,"unstaffed",ROUND(E2/F2,1))</f>
        <v>270</v>
      </c>
      <c r="I2" s="24" t="n">
        <v>3090173</v>
      </c>
      <c r="J2" s="25" t="n">
        <v>78473</v>
      </c>
      <c r="K2" s="27" t="n">
        <f aca="false">ROUND((40*D2/MAX($D$2:$D$26)+25*E2/MAX($E$2:$E$26)+10*I2/MAX($I$2:$I$26)+10*J2/MAX($J$2:$J$26))/85*100,1)</f>
        <v>89.1</v>
      </c>
      <c r="L2" s="7" t="n">
        <f aca="false">RANK(K2,$K$2:$K$26)</f>
        <v>2</v>
      </c>
      <c r="M2" s="21" t="n">
        <v>1</v>
      </c>
      <c r="N2" s="7" t="n">
        <f aca="false">M2-L2</f>
        <v>-1</v>
      </c>
      <c r="O2" s="7" t="n">
        <f aca="false">'Kathy - ALL Universe'!S4</f>
        <v>1</v>
      </c>
    </row>
    <row r="3" customFormat="false" ht="15" hidden="false" customHeight="true" outlineLevel="0" collapsed="false">
      <c r="A3" s="7" t="s">
        <v>103</v>
      </c>
      <c r="B3" s="7" t="s">
        <v>193</v>
      </c>
      <c r="C3" s="7" t="s">
        <v>194</v>
      </c>
      <c r="D3" s="8" t="n">
        <f aca="false">SUMIF('State Market Summary'!$T$4:$T$54,$A3,'State Market Summary'!$B$4:$B$54)</f>
        <v>1579</v>
      </c>
      <c r="E3" s="8" t="n">
        <f aca="false">SUMIF('State Market Summary'!$T$4:$T$54,$A3,'State Market Summary'!$C$4:$C$54)</f>
        <v>688</v>
      </c>
      <c r="F3" s="21" t="n">
        <v>2</v>
      </c>
      <c r="G3" s="8" t="n">
        <f aca="false">IF(F3=0,"unstaffed",ROUND(D3/F3,0))</f>
        <v>790</v>
      </c>
      <c r="H3" s="22" t="n">
        <f aca="false">IF(F3=0,"unstaffed",ROUND(E3/F3,1))</f>
        <v>344</v>
      </c>
      <c r="I3" s="24" t="n">
        <v>3819366</v>
      </c>
      <c r="J3" s="25" t="n">
        <v>97969</v>
      </c>
      <c r="K3" s="27" t="n">
        <f aca="false">ROUND((40*D3/MAX($D$2:$D$26)+25*E3/MAX($E$2:$E$26)+10*I3/MAX($I$2:$I$26)+10*J3/MAX($J$2:$J$26))/85*100,1)</f>
        <v>97.7</v>
      </c>
      <c r="L3" s="7" t="n">
        <f aca="false">RANK(K3,$K$2:$K$26)</f>
        <v>1</v>
      </c>
      <c r="M3" s="21" t="n">
        <v>2</v>
      </c>
      <c r="N3" s="7" t="n">
        <f aca="false">M3-L3</f>
        <v>1</v>
      </c>
      <c r="O3" s="7" t="n">
        <f aca="false">'Kathy - ALL Universe'!S5</f>
        <v>1</v>
      </c>
    </row>
    <row r="4" customFormat="false" ht="15" hidden="false" customHeight="true" outlineLevel="0" collapsed="false">
      <c r="A4" s="7" t="s">
        <v>144</v>
      </c>
      <c r="B4" s="7" t="s">
        <v>84</v>
      </c>
      <c r="C4" s="7" t="s">
        <v>195</v>
      </c>
      <c r="D4" s="8" t="n">
        <f aca="false">SUMIF('State Market Summary'!$T$4:$T$54,$A4,'State Market Summary'!$B$4:$B$54)</f>
        <v>1030</v>
      </c>
      <c r="E4" s="8" t="n">
        <f aca="false">SUMIF('State Market Summary'!$T$4:$T$54,$A4,'State Market Summary'!$C$4:$C$54)</f>
        <v>404</v>
      </c>
      <c r="F4" s="21" t="n">
        <v>2</v>
      </c>
      <c r="G4" s="8" t="n">
        <f aca="false">IF(F4=0,"unstaffed",ROUND(D4/F4,0))</f>
        <v>515</v>
      </c>
      <c r="H4" s="22" t="n">
        <f aca="false">IF(F4=0,"unstaffed",ROUND(E4/F4,1))</f>
        <v>202</v>
      </c>
      <c r="I4" s="24" t="n">
        <v>1726412</v>
      </c>
      <c r="J4" s="25" t="n">
        <v>89542</v>
      </c>
      <c r="K4" s="27" t="n">
        <f aca="false">ROUND((40*D4/MAX($D$2:$D$26)+25*E4/MAX($E$2:$E$26)+10*I4/MAX($I$2:$I$26)+10*J4/MAX($J$2:$J$26))/85*100,1)</f>
        <v>62.5</v>
      </c>
      <c r="L4" s="7" t="n">
        <f aca="false">RANK(K4,$K$2:$K$26)</f>
        <v>3</v>
      </c>
      <c r="M4" s="21" t="n">
        <v>3</v>
      </c>
      <c r="N4" s="7" t="n">
        <f aca="false">M4-L4</f>
        <v>0</v>
      </c>
      <c r="O4" s="7" t="n">
        <f aca="false">'Kathy - ALL Universe'!S6</f>
        <v>2</v>
      </c>
    </row>
    <row r="5" customFormat="false" ht="15" hidden="false" customHeight="true" outlineLevel="0" collapsed="false">
      <c r="A5" s="7" t="s">
        <v>146</v>
      </c>
      <c r="B5" s="7" t="s">
        <v>145</v>
      </c>
      <c r="C5" s="7" t="s">
        <v>196</v>
      </c>
      <c r="D5" s="8" t="n">
        <f aca="false">SUMIF('State Market Summary'!$T$4:$T$54,$A5,'State Market Summary'!$B$4:$B$54)</f>
        <v>795</v>
      </c>
      <c r="E5" s="8" t="n">
        <f aca="false">SUMIF('State Market Summary'!$T$4:$T$54,$A5,'State Market Summary'!$C$4:$C$54)</f>
        <v>178</v>
      </c>
      <c r="F5" s="21" t="n">
        <v>1</v>
      </c>
      <c r="G5" s="8" t="n">
        <f aca="false">IF(F5=0,"unstaffed",ROUND(D5/F5,0))</f>
        <v>795</v>
      </c>
      <c r="H5" s="22" t="n">
        <f aca="false">IF(F5=0,"unstaffed",ROUND(E5/F5,1))</f>
        <v>178</v>
      </c>
      <c r="I5" s="24" t="n">
        <v>1089150</v>
      </c>
      <c r="J5" s="25" t="n">
        <v>71229</v>
      </c>
      <c r="K5" s="27" t="n">
        <f aca="false">ROUND((40*D5/MAX($D$2:$D$26)+25*E5/MAX($E$2:$E$26)+10*I5/MAX($I$2:$I$26)+10*J5/MAX($J$2:$J$26))/85*100,1)</f>
        <v>42.1</v>
      </c>
      <c r="L5" s="7" t="n">
        <f aca="false">RANK(K5,$K$2:$K$26)</f>
        <v>10</v>
      </c>
      <c r="M5" s="21" t="n">
        <v>4</v>
      </c>
      <c r="N5" s="7" t="n">
        <f aca="false">M5-L5</f>
        <v>-6</v>
      </c>
      <c r="O5" s="7" t="n">
        <f aca="false">'Kathy - ALL Universe'!S7</f>
        <v>2</v>
      </c>
    </row>
    <row r="6" customFormat="false" ht="15" hidden="false" customHeight="true" outlineLevel="0" collapsed="false">
      <c r="A6" s="7" t="s">
        <v>112</v>
      </c>
      <c r="B6" s="7" t="s">
        <v>111</v>
      </c>
      <c r="C6" s="7" t="s">
        <v>197</v>
      </c>
      <c r="D6" s="8" t="n">
        <f aca="false">SUMIF('State Market Summary'!$T$4:$T$54,$A6,'State Market Summary'!$B$4:$B$54)</f>
        <v>1107</v>
      </c>
      <c r="E6" s="8" t="n">
        <f aca="false">SUMIF('State Market Summary'!$T$4:$T$54,$A6,'State Market Summary'!$C$4:$C$54)</f>
        <v>273</v>
      </c>
      <c r="F6" s="21" t="n">
        <v>2</v>
      </c>
      <c r="G6" s="8" t="n">
        <f aca="false">IF(F6=0,"unstaffed",ROUND(D6/F6,0))</f>
        <v>554</v>
      </c>
      <c r="H6" s="22" t="n">
        <f aca="false">IF(F6=0,"unstaffed",ROUND(E6/F6,1))</f>
        <v>136.5</v>
      </c>
      <c r="I6" s="24" t="n">
        <v>1780020</v>
      </c>
      <c r="J6" s="25" t="n">
        <v>71602</v>
      </c>
      <c r="K6" s="27" t="n">
        <f aca="false">ROUND((40*D6/MAX($D$2:$D$26)+25*E6/MAX($E$2:$E$26)+10*I6/MAX($I$2:$I$26)+10*J6/MAX($J$2:$J$26))/85*100,1)</f>
        <v>57.1</v>
      </c>
      <c r="L6" s="7" t="n">
        <f aca="false">RANK(K6,$K$2:$K$26)</f>
        <v>5</v>
      </c>
      <c r="M6" s="21" t="n">
        <v>5</v>
      </c>
      <c r="N6" s="7" t="n">
        <f aca="false">M6-L6</f>
        <v>0</v>
      </c>
      <c r="O6" s="7" t="n">
        <f aca="false">'Kathy - ALL Universe'!S8</f>
        <v>4</v>
      </c>
    </row>
    <row r="7" customFormat="false" ht="15" hidden="false" customHeight="true" outlineLevel="0" collapsed="false">
      <c r="A7" s="7" t="s">
        <v>141</v>
      </c>
      <c r="B7" s="7" t="s">
        <v>198</v>
      </c>
      <c r="C7" s="7" t="s">
        <v>199</v>
      </c>
      <c r="D7" s="8" t="n">
        <f aca="false">SUMIF('State Market Summary'!$T$4:$T$54,$A7,'State Market Summary'!$B$4:$B$54)</f>
        <v>1035</v>
      </c>
      <c r="E7" s="8" t="n">
        <f aca="false">SUMIF('State Market Summary'!$T$4:$T$54,$A7,'State Market Summary'!$C$4:$C$54)</f>
        <v>338</v>
      </c>
      <c r="F7" s="21" t="n">
        <v>2</v>
      </c>
      <c r="G7" s="8" t="n">
        <f aca="false">IF(F7=0,"unstaffed",ROUND(D7/F7,0))</f>
        <v>518</v>
      </c>
      <c r="H7" s="22" t="n">
        <f aca="false">IF(F7=0,"unstaffed",ROUND(E7/F7,1))</f>
        <v>169</v>
      </c>
      <c r="I7" s="24" t="n">
        <v>1985432</v>
      </c>
      <c r="J7" s="25" t="n">
        <v>89604</v>
      </c>
      <c r="K7" s="27" t="n">
        <f aca="false">ROUND((40*D7/MAX($D$2:$D$26)+25*E7/MAX($E$2:$E$26)+10*I7/MAX($I$2:$I$26)+10*J7/MAX($J$2:$J$26))/85*100,1)</f>
        <v>60.7</v>
      </c>
      <c r="L7" s="7" t="n">
        <f aca="false">RANK(K7,$K$2:$K$26)</f>
        <v>4</v>
      </c>
      <c r="M7" s="21" t="n">
        <v>6</v>
      </c>
      <c r="N7" s="7" t="n">
        <f aca="false">M7-L7</f>
        <v>2</v>
      </c>
      <c r="O7" s="7" t="n">
        <f aca="false">'Kathy - ALL Universe'!S9</f>
        <v>3</v>
      </c>
    </row>
    <row r="8" customFormat="false" ht="15" hidden="false" customHeight="true" outlineLevel="0" collapsed="false">
      <c r="A8" s="7" t="s">
        <v>131</v>
      </c>
      <c r="B8" s="7" t="s">
        <v>68</v>
      </c>
      <c r="C8" s="7" t="s">
        <v>200</v>
      </c>
      <c r="D8" s="8" t="n">
        <f aca="false">SUMIF('State Market Summary'!$T$4:$T$54,$A8,'State Market Summary'!$B$4:$B$54)</f>
        <v>746</v>
      </c>
      <c r="E8" s="8" t="n">
        <f aca="false">SUMIF('State Market Summary'!$T$4:$T$54,$A8,'State Market Summary'!$C$4:$C$54)</f>
        <v>207</v>
      </c>
      <c r="F8" s="21" t="n">
        <v>1</v>
      </c>
      <c r="G8" s="8" t="n">
        <f aca="false">IF(F8=0,"unstaffed",ROUND(D8/F8,0))</f>
        <v>746</v>
      </c>
      <c r="H8" s="22" t="n">
        <f aca="false">IF(F8=0,"unstaffed",ROUND(E8/F8,1))</f>
        <v>207</v>
      </c>
      <c r="I8" s="24" t="n">
        <v>910821</v>
      </c>
      <c r="J8" s="25" t="n">
        <v>72965</v>
      </c>
      <c r="K8" s="27" t="n">
        <f aca="false">ROUND((40*D8/MAX($D$2:$D$26)+25*E8/MAX($E$2:$E$26)+10*I8/MAX($I$2:$I$26)+10*J8/MAX($J$2:$J$26))/85*100,1)</f>
        <v>41.6</v>
      </c>
      <c r="L8" s="7" t="n">
        <f aca="false">RANK(K8,$K$2:$K$26)</f>
        <v>11</v>
      </c>
      <c r="M8" s="21" t="n">
        <v>7</v>
      </c>
      <c r="N8" s="7" t="n">
        <f aca="false">M8-L8</f>
        <v>-4</v>
      </c>
      <c r="O8" s="7" t="n">
        <f aca="false">'Kathy - ALL Universe'!S10</f>
        <v>2</v>
      </c>
    </row>
    <row r="9" customFormat="false" ht="15" hidden="false" customHeight="true" outlineLevel="0" collapsed="false">
      <c r="A9" s="7" t="s">
        <v>107</v>
      </c>
      <c r="B9" s="7" t="s">
        <v>201</v>
      </c>
      <c r="C9" s="7" t="s">
        <v>202</v>
      </c>
      <c r="D9" s="8" t="n">
        <f aca="false">SUMIF('State Market Summary'!$T$4:$T$54,$A9,'State Market Summary'!$B$4:$B$54)</f>
        <v>918</v>
      </c>
      <c r="E9" s="8" t="n">
        <f aca="false">SUMIF('State Market Summary'!$T$4:$T$54,$A9,'State Market Summary'!$C$4:$C$54)</f>
        <v>279</v>
      </c>
      <c r="F9" s="21" t="n">
        <v>1</v>
      </c>
      <c r="G9" s="8" t="n">
        <f aca="false">IF(F9=0,"unstaffed",ROUND(D9/F9,0))</f>
        <v>918</v>
      </c>
      <c r="H9" s="22" t="n">
        <f aca="false">IF(F9=0,"unstaffed",ROUND(E9/F9,1))</f>
        <v>279</v>
      </c>
      <c r="I9" s="24" t="n">
        <v>1294309</v>
      </c>
      <c r="J9" s="25" t="n">
        <v>97019</v>
      </c>
      <c r="K9" s="27" t="n">
        <f aca="false">ROUND((40*D9/MAX($D$2:$D$26)+25*E9/MAX($E$2:$E$26)+10*I9/MAX($I$2:$I$26)+10*J9/MAX($J$2:$J$26))/85*100,1)</f>
        <v>53.6</v>
      </c>
      <c r="L9" s="7" t="n">
        <f aca="false">RANK(K9,$K$2:$K$26)</f>
        <v>6</v>
      </c>
      <c r="M9" s="21" t="n">
        <v>8</v>
      </c>
      <c r="N9" s="7" t="n">
        <f aca="false">M9-L9</f>
        <v>2</v>
      </c>
      <c r="O9" s="7" t="n">
        <f aca="false">'Kathy - ALL Universe'!S11</f>
        <v>1</v>
      </c>
    </row>
    <row r="10" customFormat="false" ht="15" hidden="false" customHeight="true" outlineLevel="0" collapsed="false">
      <c r="A10" s="7" t="s">
        <v>133</v>
      </c>
      <c r="B10" s="7" t="s">
        <v>203</v>
      </c>
      <c r="C10" s="7" t="s">
        <v>204</v>
      </c>
      <c r="D10" s="8" t="n">
        <f aca="false">SUMIF('State Market Summary'!$T$4:$T$54,$A10,'State Market Summary'!$B$4:$B$54)</f>
        <v>758</v>
      </c>
      <c r="E10" s="8" t="n">
        <f aca="false">SUMIF('State Market Summary'!$T$4:$T$54,$A10,'State Market Summary'!$C$4:$C$54)</f>
        <v>176</v>
      </c>
      <c r="F10" s="21" t="n">
        <v>1</v>
      </c>
      <c r="G10" s="8" t="n">
        <f aca="false">IF(F10=0,"unstaffed",ROUND(D10/F10,0))</f>
        <v>758</v>
      </c>
      <c r="H10" s="22" t="n">
        <f aca="false">IF(F10=0,"unstaffed",ROUND(E10/F10,1))</f>
        <v>176</v>
      </c>
      <c r="I10" s="24" t="n">
        <v>1084210</v>
      </c>
      <c r="J10" s="25" t="n">
        <v>81797</v>
      </c>
      <c r="K10" s="27" t="n">
        <f aca="false">ROUND((40*D10/MAX($D$2:$D$26)+25*E10/MAX($E$2:$E$26)+10*I10/MAX($I$2:$I$26)+10*J10/MAX($J$2:$J$26))/85*100,1)</f>
        <v>42.2</v>
      </c>
      <c r="L10" s="7" t="n">
        <f aca="false">RANK(K10,$K$2:$K$26)</f>
        <v>9</v>
      </c>
      <c r="M10" s="21" t="n">
        <v>9</v>
      </c>
      <c r="N10" s="7" t="n">
        <f aca="false">M10-L10</f>
        <v>0</v>
      </c>
      <c r="O10" s="7" t="n">
        <f aca="false">'Kathy - ALL Universe'!S12</f>
        <v>2</v>
      </c>
    </row>
    <row r="11" customFormat="false" ht="15" hidden="false" customHeight="true" outlineLevel="0" collapsed="false">
      <c r="A11" s="7" t="s">
        <v>126</v>
      </c>
      <c r="B11" s="7" t="s">
        <v>205</v>
      </c>
      <c r="C11" s="7" t="s">
        <v>206</v>
      </c>
      <c r="D11" s="8" t="n">
        <f aca="false">SUMIF('State Market Summary'!$T$4:$T$54,$A11,'State Market Summary'!$B$4:$B$54)</f>
        <v>664</v>
      </c>
      <c r="E11" s="8" t="n">
        <f aca="false">SUMIF('State Market Summary'!$T$4:$T$54,$A11,'State Market Summary'!$C$4:$C$54)</f>
        <v>200</v>
      </c>
      <c r="F11" s="21" t="n">
        <v>1</v>
      </c>
      <c r="G11" s="8" t="n">
        <f aca="false">IF(F11=0,"unstaffed",ROUND(D11/F11,0))</f>
        <v>664</v>
      </c>
      <c r="H11" s="22" t="n">
        <f aca="false">IF(F11=0,"unstaffed",ROUND(E11/F11,1))</f>
        <v>200</v>
      </c>
      <c r="I11" s="24" t="n">
        <v>995376</v>
      </c>
      <c r="J11" s="25" t="n">
        <v>67472</v>
      </c>
      <c r="K11" s="27" t="n">
        <f aca="false">ROUND((40*D11/MAX($D$2:$D$26)+25*E11/MAX($E$2:$E$26)+10*I11/MAX($I$2:$I$26)+10*J11/MAX($J$2:$J$26))/85*100,1)</f>
        <v>38.5</v>
      </c>
      <c r="L11" s="7" t="n">
        <f aca="false">RANK(K11,$K$2:$K$26)</f>
        <v>15</v>
      </c>
      <c r="M11" s="21" t="n">
        <v>10</v>
      </c>
      <c r="N11" s="7" t="n">
        <f aca="false">M11-L11</f>
        <v>-5</v>
      </c>
      <c r="O11" s="7" t="n">
        <f aca="false">'Kathy - ALL Universe'!S13</f>
        <v>3</v>
      </c>
    </row>
    <row r="12" customFormat="false" ht="15" hidden="false" customHeight="true" outlineLevel="0" collapsed="false">
      <c r="A12" s="7" t="s">
        <v>114</v>
      </c>
      <c r="B12" s="7" t="s">
        <v>113</v>
      </c>
      <c r="C12" s="7" t="s">
        <v>207</v>
      </c>
      <c r="D12" s="8" t="n">
        <f aca="false">SUMIF('State Market Summary'!$T$4:$T$54,$A12,'State Market Summary'!$B$4:$B$54)</f>
        <v>683</v>
      </c>
      <c r="E12" s="8" t="n">
        <f aca="false">SUMIF('State Market Summary'!$T$4:$T$54,$A12,'State Market Summary'!$C$4:$C$54)</f>
        <v>220</v>
      </c>
      <c r="F12" s="21" t="n">
        <v>1</v>
      </c>
      <c r="G12" s="8" t="n">
        <f aca="false">IF(F12=0,"unstaffed",ROUND(D12/F12,0))</f>
        <v>683</v>
      </c>
      <c r="H12" s="22" t="n">
        <f aca="false">IF(F12=0,"unstaffed",ROUND(E12/F12,1))</f>
        <v>220</v>
      </c>
      <c r="I12" s="24" t="n">
        <v>1070611</v>
      </c>
      <c r="J12" s="25" t="n">
        <v>75694</v>
      </c>
      <c r="K12" s="27" t="n">
        <f aca="false">ROUND((40*D12/MAX($D$2:$D$26)+25*E12/MAX($E$2:$E$26)+10*I12/MAX($I$2:$I$26)+10*J12/MAX($J$2:$J$26))/85*100,1)</f>
        <v>41.2</v>
      </c>
      <c r="L12" s="7" t="n">
        <f aca="false">RANK(K12,$K$2:$K$26)</f>
        <v>13</v>
      </c>
      <c r="M12" s="21" t="n">
        <v>11</v>
      </c>
      <c r="N12" s="7" t="n">
        <f aca="false">M12-L12</f>
        <v>-2</v>
      </c>
      <c r="O12" s="7" t="n">
        <f aca="false">'Kathy - ALL Universe'!S14</f>
        <v>1</v>
      </c>
    </row>
    <row r="13" customFormat="false" ht="15" hidden="false" customHeight="true" outlineLevel="0" collapsed="false">
      <c r="A13" s="7" t="s">
        <v>95</v>
      </c>
      <c r="B13" s="7" t="s">
        <v>208</v>
      </c>
      <c r="C13" s="7" t="s">
        <v>209</v>
      </c>
      <c r="D13" s="8" t="n">
        <f aca="false">SUMIF('State Market Summary'!$T$4:$T$54,$A13,'State Market Summary'!$B$4:$B$54)</f>
        <v>734</v>
      </c>
      <c r="E13" s="8" t="n">
        <f aca="false">SUMIF('State Market Summary'!$T$4:$T$54,$A13,'State Market Summary'!$C$4:$C$54)</f>
        <v>225</v>
      </c>
      <c r="F13" s="21" t="n">
        <v>1</v>
      </c>
      <c r="G13" s="8" t="n">
        <f aca="false">IF(F13=0,"unstaffed",ROUND(D13/F13,0))</f>
        <v>734</v>
      </c>
      <c r="H13" s="22" t="n">
        <f aca="false">IF(F13=0,"unstaffed",ROUND(E13/F13,1))</f>
        <v>225</v>
      </c>
      <c r="I13" s="24" t="n">
        <v>1119028</v>
      </c>
      <c r="J13" s="25" t="n">
        <v>90198</v>
      </c>
      <c r="K13" s="27" t="n">
        <f aca="false">ROUND((40*D13/MAX($D$2:$D$26)+25*E13/MAX($E$2:$E$26)+10*I13/MAX($I$2:$I$26)+10*J13/MAX($J$2:$J$26))/85*100,1)</f>
        <v>44.7</v>
      </c>
      <c r="L13" s="7" t="n">
        <f aca="false">RANK(K13,$K$2:$K$26)</f>
        <v>7</v>
      </c>
      <c r="M13" s="21" t="n">
        <v>12</v>
      </c>
      <c r="N13" s="7" t="n">
        <f aca="false">M13-L13</f>
        <v>5</v>
      </c>
      <c r="O13" s="7" t="n">
        <f aca="false">'Kathy - ALL Universe'!S15</f>
        <v>1</v>
      </c>
    </row>
    <row r="14" customFormat="false" ht="15" hidden="false" customHeight="true" outlineLevel="0" collapsed="false">
      <c r="A14" s="7" t="s">
        <v>137</v>
      </c>
      <c r="B14" s="7" t="s">
        <v>83</v>
      </c>
      <c r="C14" s="7" t="s">
        <v>210</v>
      </c>
      <c r="D14" s="8" t="n">
        <f aca="false">SUMIF('State Market Summary'!$T$4:$T$54,$A14,'State Market Summary'!$B$4:$B$54)</f>
        <v>779</v>
      </c>
      <c r="E14" s="8" t="n">
        <f aca="false">SUMIF('State Market Summary'!$T$4:$T$54,$A14,'State Market Summary'!$C$4:$C$54)</f>
        <v>181</v>
      </c>
      <c r="F14" s="21" t="n">
        <v>1</v>
      </c>
      <c r="G14" s="8" t="n">
        <f aca="false">IF(F14=0,"unstaffed",ROUND(D14/F14,0))</f>
        <v>779</v>
      </c>
      <c r="H14" s="22" t="n">
        <f aca="false">IF(F14=0,"unstaffed",ROUND(E14/F14,1))</f>
        <v>181</v>
      </c>
      <c r="I14" s="24" t="n">
        <v>975468</v>
      </c>
      <c r="J14" s="25" t="n">
        <v>70436</v>
      </c>
      <c r="K14" s="27" t="n">
        <f aca="false">ROUND((40*D14/MAX($D$2:$D$26)+25*E14/MAX($E$2:$E$26)+10*I14/MAX($I$2:$I$26)+10*J14/MAX($J$2:$J$26))/85*100,1)</f>
        <v>41.3</v>
      </c>
      <c r="L14" s="7" t="n">
        <f aca="false">RANK(K14,$K$2:$K$26)</f>
        <v>12</v>
      </c>
      <c r="M14" s="21" t="n">
        <v>13</v>
      </c>
      <c r="N14" s="7" t="n">
        <f aca="false">M14-L14</f>
        <v>1</v>
      </c>
      <c r="O14" s="7" t="n">
        <f aca="false">'Kathy - ALL Universe'!S16</f>
        <v>2</v>
      </c>
    </row>
    <row r="15" customFormat="false" ht="15" hidden="false" customHeight="true" outlineLevel="0" collapsed="false">
      <c r="A15" s="7" t="s">
        <v>124</v>
      </c>
      <c r="B15" s="7" t="s">
        <v>211</v>
      </c>
      <c r="C15" s="7" t="s">
        <v>212</v>
      </c>
      <c r="D15" s="8" t="n">
        <f aca="false">SUMIF('State Market Summary'!$T$4:$T$54,$A15,'State Market Summary'!$B$4:$B$54)</f>
        <v>597</v>
      </c>
      <c r="E15" s="8" t="n">
        <f aca="false">SUMIF('State Market Summary'!$T$4:$T$54,$A15,'State Market Summary'!$C$4:$C$54)</f>
        <v>198</v>
      </c>
      <c r="F15" s="21" t="n">
        <v>1</v>
      </c>
      <c r="G15" s="8" t="n">
        <f aca="false">IF(F15=0,"unstaffed",ROUND(D15/F15,0))</f>
        <v>597</v>
      </c>
      <c r="H15" s="22" t="n">
        <f aca="false">IF(F15=0,"unstaffed",ROUND(E15/F15,1))</f>
        <v>198</v>
      </c>
      <c r="I15" s="24" t="n">
        <v>1097099</v>
      </c>
      <c r="J15" s="25" t="n">
        <v>68598</v>
      </c>
      <c r="K15" s="27" t="n">
        <f aca="false">ROUND((40*D15/MAX($D$2:$D$26)+25*E15/MAX($E$2:$E$26)+10*I15/MAX($I$2:$I$26)+10*J15/MAX($J$2:$J$26))/85*100,1)</f>
        <v>37</v>
      </c>
      <c r="L15" s="7" t="n">
        <f aca="false">RANK(K15,$K$2:$K$26)</f>
        <v>17</v>
      </c>
      <c r="M15" s="21" t="n">
        <v>14</v>
      </c>
      <c r="N15" s="7" t="n">
        <f aca="false">M15-L15</f>
        <v>-3</v>
      </c>
      <c r="O15" s="7" t="n">
        <f aca="false">'Kathy - ALL Universe'!S17</f>
        <v>3</v>
      </c>
    </row>
    <row r="16" customFormat="false" ht="15" hidden="false" customHeight="true" outlineLevel="0" collapsed="false">
      <c r="A16" s="7" t="s">
        <v>101</v>
      </c>
      <c r="B16" s="7" t="s">
        <v>213</v>
      </c>
      <c r="C16" s="7" t="s">
        <v>214</v>
      </c>
      <c r="D16" s="8" t="n">
        <f aca="false">SUMIF('State Market Summary'!$T$4:$T$54,$A16,'State Market Summary'!$B$4:$B$54)</f>
        <v>594</v>
      </c>
      <c r="E16" s="8" t="n">
        <f aca="false">SUMIF('State Market Summary'!$T$4:$T$54,$A16,'State Market Summary'!$C$4:$C$54)</f>
        <v>231</v>
      </c>
      <c r="F16" s="21" t="n">
        <v>1</v>
      </c>
      <c r="G16" s="8" t="n">
        <f aca="false">IF(F16=0,"unstaffed",ROUND(D16/F16,0))</f>
        <v>594</v>
      </c>
      <c r="H16" s="22" t="n">
        <f aca="false">IF(F16=0,"unstaffed",ROUND(E16/F16,1))</f>
        <v>231</v>
      </c>
      <c r="I16" s="24" t="n">
        <v>1257732</v>
      </c>
      <c r="J16" s="25" t="n">
        <v>75026</v>
      </c>
      <c r="K16" s="27" t="n">
        <f aca="false">ROUND((40*D16/MAX($D$2:$D$26)+25*E16/MAX($E$2:$E$26)+10*I16/MAX($I$2:$I$26)+10*J16/MAX($J$2:$J$26))/85*100,1)</f>
        <v>39.6</v>
      </c>
      <c r="L16" s="7" t="n">
        <f aca="false">RANK(K16,$K$2:$K$26)</f>
        <v>14</v>
      </c>
      <c r="M16" s="21" t="n">
        <v>15</v>
      </c>
      <c r="N16" s="7" t="n">
        <f aca="false">M16-L16</f>
        <v>1</v>
      </c>
      <c r="O16" s="7" t="n">
        <f aca="false">'Kathy - ALL Universe'!S18</f>
        <v>1</v>
      </c>
    </row>
    <row r="17" customFormat="false" ht="15" hidden="false" customHeight="true" outlineLevel="0" collapsed="false">
      <c r="A17" s="7" t="s">
        <v>105</v>
      </c>
      <c r="B17" s="7" t="s">
        <v>215</v>
      </c>
      <c r="C17" s="7" t="s">
        <v>216</v>
      </c>
      <c r="D17" s="8" t="n">
        <f aca="false">SUMIF('State Market Summary'!$T$4:$T$54,$A17,'State Market Summary'!$B$4:$B$54)</f>
        <v>550</v>
      </c>
      <c r="E17" s="8" t="n">
        <f aca="false">SUMIF('State Market Summary'!$T$4:$T$54,$A17,'State Market Summary'!$C$4:$C$54)</f>
        <v>185</v>
      </c>
      <c r="F17" s="21" t="n">
        <v>1</v>
      </c>
      <c r="G17" s="8" t="n">
        <f aca="false">IF(F17=0,"unstaffed",ROUND(D17/F17,0))</f>
        <v>550</v>
      </c>
      <c r="H17" s="22" t="n">
        <f aca="false">IF(F17=0,"unstaffed",ROUND(E17/F17,1))</f>
        <v>185</v>
      </c>
      <c r="I17" s="24" t="n">
        <v>915366</v>
      </c>
      <c r="J17" s="25" t="n">
        <v>91862</v>
      </c>
      <c r="K17" s="27" t="n">
        <f aca="false">ROUND((40*D17/MAX($D$2:$D$26)+25*E17/MAX($E$2:$E$26)+10*I17/MAX($I$2:$I$26)+10*J17/MAX($J$2:$J$26))/85*100,1)</f>
        <v>37.4</v>
      </c>
      <c r="L17" s="7" t="n">
        <f aca="false">RANK(K17,$K$2:$K$26)</f>
        <v>16</v>
      </c>
      <c r="M17" s="21" t="n">
        <v>16</v>
      </c>
      <c r="N17" s="7" t="n">
        <f aca="false">M17-L17</f>
        <v>0</v>
      </c>
      <c r="O17" s="7" t="n">
        <f aca="false">'Kathy - ALL Universe'!S19</f>
        <v>3</v>
      </c>
    </row>
    <row r="18" customFormat="false" ht="15" hidden="false" customHeight="true" outlineLevel="0" collapsed="false">
      <c r="A18" s="7" t="s">
        <v>120</v>
      </c>
      <c r="B18" s="7" t="s">
        <v>119</v>
      </c>
      <c r="C18" s="7" t="s">
        <v>217</v>
      </c>
      <c r="D18" s="8" t="n">
        <f aca="false">SUMIF('State Market Summary'!$T$4:$T$54,$A18,'State Market Summary'!$B$4:$B$54)</f>
        <v>718</v>
      </c>
      <c r="E18" s="8" t="n">
        <f aca="false">SUMIF('State Market Summary'!$T$4:$T$54,$A18,'State Market Summary'!$C$4:$C$54)</f>
        <v>241</v>
      </c>
      <c r="F18" s="21" t="n">
        <v>1</v>
      </c>
      <c r="G18" s="8" t="n">
        <f aca="false">IF(F18=0,"unstaffed",ROUND(D18/F18,0))</f>
        <v>718</v>
      </c>
      <c r="H18" s="22" t="n">
        <f aca="false">IF(F18=0,"unstaffed",ROUND(E18/F18,1))</f>
        <v>241</v>
      </c>
      <c r="I18" s="24" t="n">
        <v>1191812</v>
      </c>
      <c r="J18" s="25" t="n">
        <v>84033</v>
      </c>
      <c r="K18" s="27" t="n">
        <f aca="false">ROUND((40*D18/MAX($D$2:$D$26)+25*E18/MAX($E$2:$E$26)+10*I18/MAX($I$2:$I$26)+10*J18/MAX($J$2:$J$26))/85*100,1)</f>
        <v>44.4</v>
      </c>
      <c r="L18" s="7" t="n">
        <f aca="false">RANK(K18,$K$2:$K$26)</f>
        <v>8</v>
      </c>
      <c r="M18" s="21" t="n">
        <v>17</v>
      </c>
      <c r="N18" s="7" t="n">
        <f aca="false">M18-L18</f>
        <v>9</v>
      </c>
      <c r="O18" s="7" t="n">
        <f aca="false">'Kathy - ALL Universe'!S20</f>
        <v>1</v>
      </c>
    </row>
    <row r="19" customFormat="false" ht="15" hidden="false" customHeight="true" outlineLevel="0" collapsed="false">
      <c r="A19" s="7" t="s">
        <v>97</v>
      </c>
      <c r="B19" s="7" t="s">
        <v>218</v>
      </c>
      <c r="C19" s="7" t="s">
        <v>219</v>
      </c>
      <c r="D19" s="8" t="n">
        <f aca="false">SUMIF('State Market Summary'!$T$4:$T$54,$A19,'State Market Summary'!$B$4:$B$54)</f>
        <v>462</v>
      </c>
      <c r="E19" s="8" t="n">
        <f aca="false">SUMIF('State Market Summary'!$T$4:$T$54,$A19,'State Market Summary'!$C$4:$C$54)</f>
        <v>174</v>
      </c>
      <c r="F19" s="21" t="n">
        <v>1</v>
      </c>
      <c r="G19" s="8" t="n">
        <f aca="false">IF(F19=0,"unstaffed",ROUND(D19/F19,0))</f>
        <v>462</v>
      </c>
      <c r="H19" s="22" t="n">
        <f aca="false">IF(F19=0,"unstaffed",ROUND(E19/F19,1))</f>
        <v>174</v>
      </c>
      <c r="I19" s="24" t="n">
        <v>772926</v>
      </c>
      <c r="J19" s="25" t="n">
        <v>60048</v>
      </c>
      <c r="K19" s="27" t="n">
        <f aca="false">ROUND((40*D19/MAX($D$2:$D$26)+25*E19/MAX($E$2:$E$26)+10*I19/MAX($I$2:$I$26)+10*J19/MAX($J$2:$J$26))/85*100,1)</f>
        <v>30.1</v>
      </c>
      <c r="L19" s="7" t="n">
        <f aca="false">RANK(K19,$K$2:$K$26)</f>
        <v>21</v>
      </c>
      <c r="M19" s="21" t="n">
        <v>18</v>
      </c>
      <c r="N19" s="7" t="n">
        <f aca="false">M19-L19</f>
        <v>-3</v>
      </c>
      <c r="O19" s="7" t="n">
        <f aca="false">'Kathy - ALL Universe'!S21</f>
        <v>4</v>
      </c>
    </row>
    <row r="20" customFormat="false" ht="15" hidden="false" customHeight="true" outlineLevel="0" collapsed="false">
      <c r="A20" s="7" t="s">
        <v>99</v>
      </c>
      <c r="B20" s="7" t="s">
        <v>220</v>
      </c>
      <c r="C20" s="7" t="s">
        <v>221</v>
      </c>
      <c r="D20" s="8" t="n">
        <f aca="false">SUMIF('State Market Summary'!$T$4:$T$54,$A20,'State Market Summary'!$B$4:$B$54)</f>
        <v>477</v>
      </c>
      <c r="E20" s="8" t="n">
        <f aca="false">SUMIF('State Market Summary'!$T$4:$T$54,$A20,'State Market Summary'!$C$4:$C$54)</f>
        <v>176</v>
      </c>
      <c r="F20" s="21" t="n">
        <v>1</v>
      </c>
      <c r="G20" s="8" t="n">
        <f aca="false">IF(F20=0,"unstaffed",ROUND(D20/F20,0))</f>
        <v>477</v>
      </c>
      <c r="H20" s="22" t="n">
        <f aca="false">IF(F20=0,"unstaffed",ROUND(E20/F20,1))</f>
        <v>176</v>
      </c>
      <c r="I20" s="24" t="n">
        <v>739152</v>
      </c>
      <c r="J20" s="25" t="n">
        <v>59699</v>
      </c>
      <c r="K20" s="27" t="n">
        <f aca="false">ROUND((40*D20/MAX($D$2:$D$26)+25*E20/MAX($E$2:$E$26)+10*I20/MAX($I$2:$I$26)+10*J20/MAX($J$2:$J$26))/85*100,1)</f>
        <v>30.5</v>
      </c>
      <c r="L20" s="7" t="n">
        <f aca="false">RANK(K20,$K$2:$K$26)</f>
        <v>20</v>
      </c>
      <c r="M20" s="21" t="n">
        <v>19</v>
      </c>
      <c r="N20" s="7" t="n">
        <f aca="false">M20-L20</f>
        <v>-1</v>
      </c>
      <c r="O20" s="7" t="n">
        <f aca="false">'Kathy - ALL Universe'!S22</f>
        <v>3</v>
      </c>
    </row>
    <row r="21" customFormat="false" ht="15" hidden="false" customHeight="true" outlineLevel="0" collapsed="false">
      <c r="A21" s="7" t="s">
        <v>122</v>
      </c>
      <c r="B21" s="7" t="s">
        <v>121</v>
      </c>
      <c r="C21" s="7" t="s">
        <v>222</v>
      </c>
      <c r="D21" s="8" t="n">
        <f aca="false">SUMIF('State Market Summary'!$T$4:$T$54,$A21,'State Market Summary'!$B$4:$B$54)</f>
        <v>442</v>
      </c>
      <c r="E21" s="8" t="n">
        <f aca="false">SUMIF('State Market Summary'!$T$4:$T$54,$A21,'State Market Summary'!$C$4:$C$54)</f>
        <v>111</v>
      </c>
      <c r="F21" s="21" t="n">
        <v>1</v>
      </c>
      <c r="G21" s="8" t="n">
        <f aca="false">IF(F21=0,"unstaffed",ROUND(D21/F21,0))</f>
        <v>442</v>
      </c>
      <c r="H21" s="22" t="n">
        <f aca="false">IF(F21=0,"unstaffed",ROUND(E21/F21,1))</f>
        <v>111</v>
      </c>
      <c r="I21" s="24" t="n">
        <v>663850</v>
      </c>
      <c r="J21" s="25" t="n">
        <v>70489</v>
      </c>
      <c r="K21" s="27" t="n">
        <f aca="false">ROUND((40*D21/MAX($D$2:$D$26)+25*E21/MAX($E$2:$E$26)+10*I21/MAX($I$2:$I$26)+10*J21/MAX($J$2:$J$26))/85*100,1)</f>
        <v>27.8</v>
      </c>
      <c r="L21" s="7" t="n">
        <f aca="false">RANK(K21,$K$2:$K$26)</f>
        <v>22</v>
      </c>
      <c r="M21" s="21" t="n">
        <v>20</v>
      </c>
      <c r="N21" s="7" t="n">
        <f aca="false">M21-L21</f>
        <v>-2</v>
      </c>
      <c r="O21" s="7" t="n">
        <f aca="false">'Kathy - ALL Universe'!S23</f>
        <v>4</v>
      </c>
    </row>
    <row r="22" customFormat="false" ht="15" hidden="false" customHeight="true" outlineLevel="0" collapsed="false">
      <c r="A22" s="7" t="s">
        <v>157</v>
      </c>
      <c r="B22" s="7" t="s">
        <v>156</v>
      </c>
      <c r="C22" s="7" t="s">
        <v>223</v>
      </c>
      <c r="D22" s="8" t="n">
        <f aca="false">SUMIF('State Market Summary'!$T$4:$T$54,$A22,'State Market Summary'!$B$4:$B$54)</f>
        <v>478</v>
      </c>
      <c r="E22" s="8" t="n">
        <f aca="false">SUMIF('State Market Summary'!$T$4:$T$54,$A22,'State Market Summary'!$C$4:$C$54)</f>
        <v>137</v>
      </c>
      <c r="F22" s="21" t="n">
        <v>1</v>
      </c>
      <c r="G22" s="8" t="n">
        <f aca="false">IF(F22=0,"unstaffed",ROUND(D22/F22,0))</f>
        <v>478</v>
      </c>
      <c r="H22" s="22" t="n">
        <f aca="false">IF(F22=0,"unstaffed",ROUND(E22/F22,1))</f>
        <v>137</v>
      </c>
      <c r="I22" s="24" t="n">
        <v>794462</v>
      </c>
      <c r="J22" s="25" t="n">
        <v>97828</v>
      </c>
      <c r="K22" s="27" t="n">
        <f aca="false">ROUND((40*D22/MAX($D$2:$D$26)+25*E22/MAX($E$2:$E$26)+10*I22/MAX($I$2:$I$26)+10*J22/MAX($J$2:$J$26))/85*100,1)</f>
        <v>33.6</v>
      </c>
      <c r="L22" s="7" t="n">
        <f aca="false">RANK(K22,$K$2:$K$26)</f>
        <v>19</v>
      </c>
      <c r="M22" s="21" t="n">
        <v>21</v>
      </c>
      <c r="N22" s="7" t="n">
        <f aca="false">M22-L22</f>
        <v>2</v>
      </c>
      <c r="O22" s="7" t="n">
        <f aca="false">'Kathy - ALL Universe'!S24</f>
        <v>3</v>
      </c>
    </row>
    <row r="23" customFormat="false" ht="15" hidden="false" customHeight="true" outlineLevel="0" collapsed="false">
      <c r="A23" s="7" t="s">
        <v>109</v>
      </c>
      <c r="B23" s="7" t="s">
        <v>224</v>
      </c>
      <c r="C23" s="7" t="s">
        <v>225</v>
      </c>
      <c r="D23" s="8" t="n">
        <f aca="false">SUMIF('State Market Summary'!$T$4:$T$54,$A23,'State Market Summary'!$B$4:$B$54)</f>
        <v>489</v>
      </c>
      <c r="E23" s="8" t="n">
        <f aca="false">SUMIF('State Market Summary'!$T$4:$T$54,$A23,'State Market Summary'!$C$4:$C$54)</f>
        <v>168</v>
      </c>
      <c r="F23" s="21" t="n">
        <v>1</v>
      </c>
      <c r="G23" s="8" t="n">
        <f aca="false">IF(F23=0,"unstaffed",ROUND(D23/F23,0))</f>
        <v>489</v>
      </c>
      <c r="H23" s="22" t="n">
        <f aca="false">IF(F23=0,"unstaffed",ROUND(E23/F23,1))</f>
        <v>168</v>
      </c>
      <c r="I23" s="24" t="n">
        <v>860620</v>
      </c>
      <c r="J23" s="25" t="n">
        <v>94114</v>
      </c>
      <c r="K23" s="27" t="n">
        <f aca="false">ROUND((40*D23/MAX($D$2:$D$26)+25*E23/MAX($E$2:$E$26)+10*I23/MAX($I$2:$I$26)+10*J23/MAX($J$2:$J$26))/85*100,1)</f>
        <v>35</v>
      </c>
      <c r="L23" s="7" t="n">
        <f aca="false">RANK(K23,$K$2:$K$26)</f>
        <v>18</v>
      </c>
      <c r="M23" s="21" t="n">
        <v>22</v>
      </c>
      <c r="N23" s="7" t="n">
        <f aca="false">M23-L23</f>
        <v>4</v>
      </c>
      <c r="O23" s="7" t="n">
        <f aca="false">'Kathy - ALL Universe'!S25</f>
        <v>3</v>
      </c>
    </row>
    <row r="24" customFormat="false" ht="15" hidden="false" customHeight="true" outlineLevel="0" collapsed="false">
      <c r="A24" s="7" t="s">
        <v>153</v>
      </c>
      <c r="B24" s="7" t="s">
        <v>152</v>
      </c>
      <c r="C24" s="7" t="s">
        <v>226</v>
      </c>
      <c r="D24" s="8" t="n">
        <f aca="false">SUMIF('State Market Summary'!$T$4:$T$54,$A24,'State Market Summary'!$B$4:$B$54)</f>
        <v>401</v>
      </c>
      <c r="E24" s="8" t="n">
        <f aca="false">SUMIF('State Market Summary'!$T$4:$T$54,$A24,'State Market Summary'!$C$4:$C$54)</f>
        <v>124</v>
      </c>
      <c r="F24" s="21" t="n">
        <v>1</v>
      </c>
      <c r="G24" s="8" t="n">
        <f aca="false">IF(F24=0,"unstaffed",ROUND(D24/F24,0))</f>
        <v>401</v>
      </c>
      <c r="H24" s="22" t="n">
        <f aca="false">IF(F24=0,"unstaffed",ROUND(E24/F24,1))</f>
        <v>124</v>
      </c>
      <c r="I24" s="24" t="n">
        <v>634143</v>
      </c>
      <c r="J24" s="25" t="n">
        <v>67976</v>
      </c>
      <c r="K24" s="27" t="n">
        <f aca="false">ROUND((40*D24/MAX($D$2:$D$26)+25*E24/MAX($E$2:$E$26)+10*I24/MAX($I$2:$I$26)+10*J24/MAX($J$2:$J$26))/85*100,1)</f>
        <v>26.8</v>
      </c>
      <c r="L24" s="7" t="n">
        <f aca="false">RANK(K24,$K$2:$K$26)</f>
        <v>23</v>
      </c>
      <c r="M24" s="21" t="n">
        <v>23</v>
      </c>
      <c r="N24" s="7" t="n">
        <f aca="false">M24-L24</f>
        <v>0</v>
      </c>
      <c r="O24" s="7" t="n">
        <f aca="false">'Kathy - ALL Universe'!S26</f>
        <v>4</v>
      </c>
    </row>
    <row r="25" customFormat="false" ht="15" hidden="false" customHeight="true" outlineLevel="0" collapsed="false">
      <c r="A25" s="7" t="s">
        <v>117</v>
      </c>
      <c r="B25" s="7" t="s">
        <v>227</v>
      </c>
      <c r="C25" s="7" t="s">
        <v>228</v>
      </c>
      <c r="D25" s="8" t="n">
        <f aca="false">SUMIF('State Market Summary'!$T$4:$T$54,$A25,'State Market Summary'!$B$4:$B$54)</f>
        <v>345</v>
      </c>
      <c r="E25" s="8" t="n">
        <f aca="false">SUMIF('State Market Summary'!$T$4:$T$54,$A25,'State Market Summary'!$C$4:$C$54)</f>
        <v>111</v>
      </c>
      <c r="F25" s="21" t="n">
        <v>1</v>
      </c>
      <c r="G25" s="8" t="n">
        <f aca="false">IF(F25=0,"unstaffed",ROUND(D25/F25,0))</f>
        <v>345</v>
      </c>
      <c r="H25" s="22" t="n">
        <f aca="false">IF(F25=0,"unstaffed",ROUND(E25/F25,1))</f>
        <v>111</v>
      </c>
      <c r="I25" s="24" t="n">
        <v>528815</v>
      </c>
      <c r="J25" s="25" t="n">
        <v>73245</v>
      </c>
      <c r="K25" s="27" t="n">
        <f aca="false">ROUND((40*D25/MAX($D$2:$D$26)+25*E25/MAX($E$2:$E$26)+10*I25/MAX($I$2:$I$26)+10*J25/MAX($J$2:$J$26))/85*100,1)</f>
        <v>25</v>
      </c>
      <c r="L25" s="7" t="n">
        <f aca="false">RANK(K25,$K$2:$K$26)</f>
        <v>24</v>
      </c>
      <c r="M25" s="21" t="n">
        <v>24</v>
      </c>
      <c r="N25" s="7" t="n">
        <f aca="false">M25-L25</f>
        <v>0</v>
      </c>
      <c r="O25" s="7" t="n">
        <f aca="false">'Kathy - ALL Universe'!S27</f>
        <v>4</v>
      </c>
    </row>
    <row r="26" customFormat="false" ht="15" hidden="false" customHeight="true" outlineLevel="0" collapsed="false">
      <c r="A26" s="7" t="s">
        <v>150</v>
      </c>
      <c r="B26" s="7" t="s">
        <v>86</v>
      </c>
      <c r="C26" s="7" t="s">
        <v>229</v>
      </c>
      <c r="D26" s="8" t="n">
        <f aca="false">SUMIF('State Market Summary'!$T$4:$T$54,$A26,'State Market Summary'!$B$4:$B$54)</f>
        <v>364</v>
      </c>
      <c r="E26" s="8" t="n">
        <f aca="false">SUMIF('State Market Summary'!$T$4:$T$54,$A26,'State Market Summary'!$C$4:$C$54)</f>
        <v>97</v>
      </c>
      <c r="F26" s="21" t="n">
        <v>1</v>
      </c>
      <c r="G26" s="8" t="n">
        <f aca="false">IF(F26=0,"unstaffed",ROUND(D26/F26,0))</f>
        <v>364</v>
      </c>
      <c r="H26" s="22" t="n">
        <f aca="false">IF(F26=0,"unstaffed",ROUND(E26/F26,1))</f>
        <v>97</v>
      </c>
      <c r="I26" s="24" t="n">
        <v>473826</v>
      </c>
      <c r="J26" s="25" t="n">
        <v>65973</v>
      </c>
      <c r="K26" s="27" t="n">
        <f aca="false">ROUND((40*D26/MAX($D$2:$D$26)+25*E26/MAX($E$2:$E$26)+10*I26/MAX($I$2:$I$26)+10*J26/MAX($J$2:$J$26))/85*100,1)</f>
        <v>23.8</v>
      </c>
      <c r="L26" s="7" t="n">
        <f aca="false">RANK(K26,$K$2:$K$26)</f>
        <v>25</v>
      </c>
      <c r="M26" s="21" t="n">
        <v>25</v>
      </c>
      <c r="N26" s="7" t="n">
        <f aca="false">M26-L26</f>
        <v>0</v>
      </c>
      <c r="O26" s="7" t="n">
        <f aca="false">'Kathy - ALL Universe'!S28</f>
        <v>4</v>
      </c>
    </row>
    <row r="27" customFormat="false" ht="15" hidden="false" customHeight="true" outlineLevel="0" collapsed="false">
      <c r="A27" s="11" t="s">
        <v>74</v>
      </c>
      <c r="B27" s="11"/>
      <c r="C27" s="11"/>
      <c r="D27" s="18" t="n">
        <f aca="false">SUM(D2:D26)</f>
        <v>18405</v>
      </c>
      <c r="E27" s="18" t="n">
        <f aca="false">SUM(E2:E26)</f>
        <v>5862</v>
      </c>
      <c r="F27" s="18" t="n">
        <f aca="false">SUM(F2:F26)</f>
        <v>30</v>
      </c>
      <c r="G27" s="18" t="n">
        <f aca="false">ROUND(D27/F27,0)</f>
        <v>614</v>
      </c>
      <c r="H27" s="28" t="n">
        <f aca="false">ROUND(E27/F27,1)</f>
        <v>195.4</v>
      </c>
      <c r="I27" s="18" t="n">
        <f aca="false">SUM(I2:I26)</f>
        <v>30870179</v>
      </c>
      <c r="J27" s="11"/>
      <c r="K27" s="11"/>
      <c r="L27" s="11"/>
      <c r="M27" s="11"/>
      <c r="N27" s="11"/>
      <c r="O27" s="11"/>
    </row>
    <row r="29" customFormat="false" ht="51.75" hidden="false" customHeight="true" outlineLevel="0" collapsed="false">
      <c r="A29" s="9" t="s">
        <v>230</v>
      </c>
      <c r="B29" s="9"/>
      <c r="C29" s="9"/>
      <c r="D29" s="9"/>
      <c r="E29" s="9"/>
      <c r="F29" s="9"/>
      <c r="G29" s="9"/>
      <c r="H29" s="9"/>
      <c r="I29" s="9"/>
      <c r="J29" s="9"/>
      <c r="K29" s="9"/>
      <c r="L29" s="9"/>
      <c r="M29" s="9"/>
      <c r="N29" s="9"/>
      <c r="O29" s="9"/>
    </row>
  </sheetData>
  <mergeCells count="1">
    <mergeCell ref="A29:O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9"/>
    <col collapsed="false" customWidth="true" hidden="false" outlineLevel="0" max="2" min="2" style="1" width="80"/>
    <col collapsed="false" customWidth="true" hidden="false" outlineLevel="0" max="3" min="3" style="1" width="11"/>
    <col collapsed="false" customWidth="true" hidden="false" outlineLevel="0" max="4" min="4" style="1" width="14"/>
    <col collapsed="false" customWidth="true" hidden="false" outlineLevel="0" max="5" min="5" style="1" width="34"/>
  </cols>
  <sheetData>
    <row r="1" customFormat="false" ht="15" hidden="false" customHeight="true" outlineLevel="0" collapsed="false">
      <c r="A1" s="4" t="s">
        <v>231</v>
      </c>
      <c r="B1" s="4" t="s">
        <v>232</v>
      </c>
      <c r="C1" s="4" t="s">
        <v>233</v>
      </c>
      <c r="D1" s="4" t="s">
        <v>234</v>
      </c>
      <c r="E1" s="4" t="s">
        <v>235</v>
      </c>
    </row>
    <row r="2" customFormat="false" ht="15" hidden="false" customHeight="true" outlineLevel="0" collapsed="false">
      <c r="A2" s="7" t="s">
        <v>236</v>
      </c>
      <c r="B2" s="30" t="s">
        <v>237</v>
      </c>
      <c r="C2" s="8" t="n">
        <f aca="false">SUMIF('Kathy - ALL Universe'!$S$4:$S$28,1,'Kathy - ALL Universe'!$J$4:$J$28)</f>
        <v>9</v>
      </c>
      <c r="D2" s="8" t="n">
        <f aca="false">SUM($C$2:$C2)</f>
        <v>9</v>
      </c>
      <c r="E2" s="7" t="s">
        <v>238</v>
      </c>
    </row>
    <row r="3" customFormat="false" ht="15" hidden="false" customHeight="true" outlineLevel="0" collapsed="false">
      <c r="A3" s="7" t="s">
        <v>239</v>
      </c>
      <c r="B3" s="30" t="s">
        <v>240</v>
      </c>
      <c r="C3" s="8" t="n">
        <f aca="false">SUMIF('Kathy - ALL Universe'!$S$4:$S$28,2,'Kathy - ALL Universe'!$J$4:$J$28)</f>
        <v>6</v>
      </c>
      <c r="D3" s="8" t="n">
        <f aca="false">SUM($C$2:$C3)</f>
        <v>15</v>
      </c>
      <c r="E3" s="7" t="s">
        <v>241</v>
      </c>
    </row>
    <row r="4" customFormat="false" ht="15" hidden="false" customHeight="true" outlineLevel="0" collapsed="false">
      <c r="A4" s="7" t="s">
        <v>242</v>
      </c>
      <c r="B4" s="30" t="s">
        <v>243</v>
      </c>
      <c r="C4" s="8" t="n">
        <f aca="false">SUMIF('Kathy - ALL Universe'!$S$4:$S$28,3,'Kathy - ALL Universe'!$J$4:$J$28)</f>
        <v>8</v>
      </c>
      <c r="D4" s="8" t="n">
        <f aca="false">SUM($C$2:$C4)</f>
        <v>23</v>
      </c>
      <c r="E4" s="7" t="s">
        <v>244</v>
      </c>
    </row>
    <row r="5" customFormat="false" ht="15" hidden="false" customHeight="true" outlineLevel="0" collapsed="false">
      <c r="A5" s="7" t="s">
        <v>245</v>
      </c>
      <c r="B5" s="30" t="s">
        <v>246</v>
      </c>
      <c r="C5" s="8" t="n">
        <f aca="false">SUMIF('Kathy - ALL Universe'!$S$4:$S$28,4,'Kathy - ALL Universe'!$J$4:$J$28)</f>
        <v>7</v>
      </c>
      <c r="D5" s="8" t="n">
        <f aca="false">SUM($C$2:$C5)</f>
        <v>30</v>
      </c>
      <c r="E5" s="7" t="s">
        <v>247</v>
      </c>
    </row>
    <row r="7" customFormat="false" ht="30" hidden="false" customHeight="true" outlineLevel="0" collapsed="false">
      <c r="A7" s="31" t="s">
        <v>248</v>
      </c>
      <c r="B7" s="31"/>
      <c r="C7" s="31"/>
      <c r="D7" s="31"/>
      <c r="E7" s="31"/>
    </row>
    <row r="8" customFormat="false" ht="30" hidden="false" customHeight="true" outlineLevel="0" collapsed="false">
      <c r="A8" s="9" t="s">
        <v>249</v>
      </c>
      <c r="B8" s="9"/>
      <c r="C8" s="9"/>
      <c r="D8" s="9"/>
      <c r="E8" s="9"/>
    </row>
  </sheetData>
  <mergeCells count="2">
    <mergeCell ref="A7:E7"/>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5" min="5" style="1" width="20"/>
    <col collapsed="false" customWidth="true" hidden="false" outlineLevel="0" max="6" min="6" style="1" width="9"/>
    <col collapsed="false" customWidth="true" hidden="false" outlineLevel="0" max="7" min="7" style="1" width="10"/>
    <col collapsed="false" customWidth="true" hidden="false" outlineLevel="0" max="9" min="8" style="1" width="12"/>
    <col collapsed="false" customWidth="true" hidden="false" outlineLevel="0" max="10" min="10" style="1" width="7"/>
    <col collapsed="false" customWidth="true" hidden="false" outlineLevel="0" max="13" min="11" style="1" width="10"/>
    <col collapsed="false" customWidth="true" hidden="false" outlineLevel="0" max="15" min="14" style="1" width="11"/>
    <col collapsed="false" customWidth="true" hidden="false" outlineLevel="0" max="16" min="16" style="1" width="10"/>
    <col collapsed="false" customWidth="true" hidden="false" outlineLevel="0" max="17" min="17" style="1" width="8"/>
    <col collapsed="false" customWidth="true" hidden="false" outlineLevel="0" max="18" min="18" style="1" width="7"/>
    <col collapsed="false" customWidth="true" hidden="false" outlineLevel="0" max="19" min="19" style="1" width="8"/>
  </cols>
  <sheetData>
    <row r="1" customFormat="false" ht="15" hidden="false" customHeight="true" outlineLevel="0" collapsed="false">
      <c r="E1" s="12" t="s">
        <v>250</v>
      </c>
      <c r="F1" s="12"/>
      <c r="G1" s="12"/>
      <c r="H1" s="12"/>
      <c r="I1" s="12"/>
      <c r="J1" s="12"/>
      <c r="K1" s="12"/>
      <c r="L1" s="12"/>
      <c r="M1" s="12"/>
      <c r="N1" s="12"/>
      <c r="O1" s="12"/>
      <c r="P1" s="12"/>
      <c r="Q1" s="12"/>
      <c r="R1" s="12"/>
    </row>
    <row r="2" customFormat="false" ht="15" hidden="false" customHeight="true" outlineLevel="0" collapsed="false">
      <c r="J2" s="10" t="s">
        <v>164</v>
      </c>
      <c r="K2" s="19" t="s">
        <v>165</v>
      </c>
      <c r="L2" s="19" t="s">
        <v>166</v>
      </c>
      <c r="N2" s="19" t="s">
        <v>167</v>
      </c>
      <c r="O2" s="19" t="s">
        <v>167</v>
      </c>
      <c r="P2" s="19" t="s">
        <v>168</v>
      </c>
    </row>
    <row r="3" customFormat="false" ht="34.5" hidden="false" customHeight="true" outlineLevel="0" collapsed="false">
      <c r="E3" s="20" t="s">
        <v>93</v>
      </c>
      <c r="F3" s="20" t="s">
        <v>91</v>
      </c>
      <c r="G3" s="20" t="s">
        <v>92</v>
      </c>
      <c r="H3" s="20" t="s">
        <v>169</v>
      </c>
      <c r="I3" s="20" t="s">
        <v>170</v>
      </c>
      <c r="J3" s="20" t="s">
        <v>171</v>
      </c>
      <c r="K3" s="20" t="s">
        <v>172</v>
      </c>
      <c r="L3" s="20" t="s">
        <v>173</v>
      </c>
      <c r="M3" s="20" t="s">
        <v>174</v>
      </c>
      <c r="N3" s="20" t="s">
        <v>175</v>
      </c>
      <c r="O3" s="20" t="s">
        <v>176</v>
      </c>
      <c r="P3" s="20" t="s">
        <v>177</v>
      </c>
      <c r="Q3" s="20" t="s">
        <v>178</v>
      </c>
      <c r="R3" s="20" t="s">
        <v>179</v>
      </c>
      <c r="S3" s="20" t="s">
        <v>251</v>
      </c>
    </row>
    <row r="4" customFormat="false" ht="15" hidden="false" customHeight="true" outlineLevel="0" collapsed="false">
      <c r="E4" s="7" t="s">
        <v>252</v>
      </c>
      <c r="F4" s="8" t="n">
        <f aca="false">SUMIF('State Market Summary'!$T$4:$T$54,"T01",'State Market Summary'!$B$4:$B$54)</f>
        <v>1660</v>
      </c>
      <c r="G4" s="8" t="n">
        <f aca="false">SUMIF('State Market Summary'!$T$4:$T$54,"T01",'State Market Summary'!$C$4:$C$54)</f>
        <v>540</v>
      </c>
      <c r="H4" s="8" t="n">
        <f aca="false">SUMIF('State Market Summary'!$T$4:$T$54,"T01",'State Market Summary'!$N$4:$N$54)</f>
        <v>546</v>
      </c>
      <c r="I4" s="8" t="n">
        <f aca="false">SUMIF('State Market Summary'!$T$4:$T$54,"T01",'State Market Summary'!$O$4:$O$54)</f>
        <v>126</v>
      </c>
      <c r="J4" s="21" t="n">
        <v>2</v>
      </c>
      <c r="K4" s="8" t="n">
        <f aca="false">IF(J4=0,"unstaffed",ROUND(F4/J4,0))</f>
        <v>830</v>
      </c>
      <c r="L4" s="22" t="n">
        <f aca="false">IF(J4=0,"unstaffed",ROUND(G4/J4,1))</f>
        <v>270</v>
      </c>
      <c r="M4" s="23" t="n">
        <f aca="false">H4/F4</f>
        <v>0.328915662650602</v>
      </c>
      <c r="N4" s="24" t="n">
        <v>3090173</v>
      </c>
      <c r="O4" s="25" t="n">
        <v>78473</v>
      </c>
      <c r="P4" s="26" t="n">
        <v>31.7</v>
      </c>
      <c r="Q4" s="27" t="n">
        <f aca="false">IF(J4=0,"unstaffed",ROUND((20*100*(K4-MIN($K$4:$K$28))/(MAX($K$4:$K$28)-MIN($K$4:$K$28))+60*100*(L4-MIN($L$4:$L$28))/(MAX($L$4:$L$28)-MIN($L$4:$L$28))+10*100*(N4-MIN($N$4:$N$28))/(MAX($N$4:$N$28)-MIN($N$4:$N$28))+10*100*(O4-MIN($O$4:$O$28))/(MAX($O$4:$O$28)-MIN($O$4:$O$28)))/100,1))</f>
        <v>71.7</v>
      </c>
      <c r="R4" s="7" t="n">
        <f aca="false">IF(J4=0,"n/a",RANK(Q4,$Q$4:$Q$28))</f>
        <v>3</v>
      </c>
      <c r="S4" s="7" t="n">
        <f aca="false">IF(J4=0,4,IF(R4&lt;=7,1,IF(R4&lt;=12,2,IF(R4&lt;=19,3,4))))</f>
        <v>1</v>
      </c>
    </row>
    <row r="5" customFormat="false" ht="15" hidden="false" customHeight="true" outlineLevel="0" collapsed="false">
      <c r="E5" s="7" t="s">
        <v>253</v>
      </c>
      <c r="F5" s="8" t="n">
        <f aca="false">SUMIF('State Market Summary'!$T$4:$T$54,"T02",'State Market Summary'!$B$4:$B$54)</f>
        <v>1579</v>
      </c>
      <c r="G5" s="8" t="n">
        <f aca="false">SUMIF('State Market Summary'!$T$4:$T$54,"T02",'State Market Summary'!$C$4:$C$54)</f>
        <v>688</v>
      </c>
      <c r="H5" s="8" t="n">
        <f aca="false">SUMIF('State Market Summary'!$T$4:$T$54,"T02",'State Market Summary'!$N$4:$N$54)</f>
        <v>857</v>
      </c>
      <c r="I5" s="8" t="n">
        <f aca="false">SUMIF('State Market Summary'!$T$4:$T$54,"T02",'State Market Summary'!$O$4:$O$54)</f>
        <v>267</v>
      </c>
      <c r="J5" s="21" t="n">
        <v>2</v>
      </c>
      <c r="K5" s="8" t="n">
        <f aca="false">IF(J5=0,"unstaffed",ROUND(F5/J5,0))</f>
        <v>790</v>
      </c>
      <c r="L5" s="22" t="n">
        <f aca="false">IF(J5=0,"unstaffed",ROUND(G5/J5,1))</f>
        <v>344</v>
      </c>
      <c r="M5" s="23" t="n">
        <f aca="false">H5/F5</f>
        <v>0.542748575047498</v>
      </c>
      <c r="N5" s="24" t="n">
        <v>3819366</v>
      </c>
      <c r="O5" s="25" t="n">
        <v>97969</v>
      </c>
      <c r="P5" s="26" t="n">
        <v>34.9</v>
      </c>
      <c r="Q5" s="27" t="n">
        <f aca="false">IF(J5=0,"unstaffed",ROUND((20*100*(K5-MIN($K$4:$K$28))/(MAX($K$4:$K$28)-MIN($K$4:$K$28))+60*100*(L5-MIN($L$4:$L$28))/(MAX($L$4:$L$28)-MIN($L$4:$L$28))+10*100*(N5-MIN($N$4:$N$28))/(MAX($N$4:$N$28)-MIN($N$4:$N$28))+10*100*(O5-MIN($O$4:$O$28))/(MAX($O$4:$O$28)-MIN($O$4:$O$28)))/100,1))</f>
        <v>95.5</v>
      </c>
      <c r="R5" s="7" t="n">
        <f aca="false">IF(J5=0,"n/a",RANK(Q5,$Q$4:$Q$28))</f>
        <v>1</v>
      </c>
      <c r="S5" s="7" t="n">
        <f aca="false">IF(J5=0,4,IF(R5&lt;=7,1,IF(R5&lt;=12,2,IF(R5&lt;=19,3,4))))</f>
        <v>1</v>
      </c>
    </row>
    <row r="6" customFormat="false" ht="15" hidden="false" customHeight="true" outlineLevel="0" collapsed="false">
      <c r="E6" s="7" t="s">
        <v>254</v>
      </c>
      <c r="F6" s="8" t="n">
        <f aca="false">SUMIF('State Market Summary'!$T$4:$T$54,"T03",'State Market Summary'!$B$4:$B$54)</f>
        <v>1030</v>
      </c>
      <c r="G6" s="8" t="n">
        <f aca="false">SUMIF('State Market Summary'!$T$4:$T$54,"T03",'State Market Summary'!$C$4:$C$54)</f>
        <v>404</v>
      </c>
      <c r="H6" s="8" t="n">
        <f aca="false">SUMIF('State Market Summary'!$T$4:$T$54,"T03",'State Market Summary'!$N$4:$N$54)</f>
        <v>413</v>
      </c>
      <c r="I6" s="8" t="n">
        <f aca="false">SUMIF('State Market Summary'!$T$4:$T$54,"T03",'State Market Summary'!$O$4:$O$54)</f>
        <v>148</v>
      </c>
      <c r="J6" s="21" t="n">
        <v>2</v>
      </c>
      <c r="K6" s="8" t="n">
        <f aca="false">IF(J6=0,"unstaffed",ROUND(F6/J6,0))</f>
        <v>515</v>
      </c>
      <c r="L6" s="22" t="n">
        <f aca="false">IF(J6=0,"unstaffed",ROUND(G6/J6,1))</f>
        <v>202</v>
      </c>
      <c r="M6" s="23" t="n">
        <f aca="false">H6/F6</f>
        <v>0.400970873786408</v>
      </c>
      <c r="N6" s="24" t="n">
        <v>1726412</v>
      </c>
      <c r="O6" s="25" t="n">
        <v>89542</v>
      </c>
      <c r="P6" s="26" t="n">
        <v>38.3</v>
      </c>
      <c r="Q6" s="27" t="n">
        <f aca="false">IF(J6=0,"unstaffed",ROUND((20*100*(K6-MIN($K$4:$K$28))/(MAX($K$4:$K$28)-MIN($K$4:$K$28))+60*100*(L6-MIN($L$4:$L$28))/(MAX($L$4:$L$28)-MIN($L$4:$L$28))+10*100*(N6-MIN($N$4:$N$28))/(MAX($N$4:$N$28)-MIN($N$4:$N$28))+10*100*(O6-MIN($O$4:$O$28))/(MAX($O$4:$O$28)-MIN($O$4:$O$28)))/100,1))</f>
        <v>43</v>
      </c>
      <c r="R6" s="7" t="n">
        <f aca="false">IF(J6=0,"n/a",RANK(Q6,$Q$4:$Q$28))</f>
        <v>9</v>
      </c>
      <c r="S6" s="7" t="n">
        <f aca="false">IF(J6=0,4,IF(R6&lt;=7,1,IF(R6&lt;=12,2,IF(R6&lt;=19,3,4))))</f>
        <v>2</v>
      </c>
    </row>
    <row r="7" customFormat="false" ht="15" hidden="false" customHeight="true" outlineLevel="0" collapsed="false">
      <c r="E7" s="7" t="s">
        <v>255</v>
      </c>
      <c r="F7" s="8" t="n">
        <f aca="false">SUMIF('State Market Summary'!$T$4:$T$54,"T04",'State Market Summary'!$B$4:$B$54)</f>
        <v>795</v>
      </c>
      <c r="G7" s="8" t="n">
        <f aca="false">SUMIF('State Market Summary'!$T$4:$T$54,"T04",'State Market Summary'!$C$4:$C$54)</f>
        <v>178</v>
      </c>
      <c r="H7" s="8" t="n">
        <f aca="false">SUMIF('State Market Summary'!$T$4:$T$54,"T04",'State Market Summary'!$N$4:$N$54)</f>
        <v>347</v>
      </c>
      <c r="I7" s="8" t="n">
        <f aca="false">SUMIF('State Market Summary'!$T$4:$T$54,"T04",'State Market Summary'!$O$4:$O$54)</f>
        <v>74</v>
      </c>
      <c r="J7" s="21" t="n">
        <v>1</v>
      </c>
      <c r="K7" s="8" t="n">
        <f aca="false">IF(J7=0,"unstaffed",ROUND(F7/J7,0))</f>
        <v>795</v>
      </c>
      <c r="L7" s="22" t="n">
        <f aca="false">IF(J7=0,"unstaffed",ROUND(G7/J7,1))</f>
        <v>178</v>
      </c>
      <c r="M7" s="23" t="n">
        <f aca="false">H7/F7</f>
        <v>0.436477987421384</v>
      </c>
      <c r="N7" s="24" t="n">
        <v>1089150</v>
      </c>
      <c r="O7" s="25" t="n">
        <v>71229</v>
      </c>
      <c r="P7" s="26" t="n">
        <v>30.4</v>
      </c>
      <c r="Q7" s="27" t="n">
        <f aca="false">IF(J7=0,"unstaffed",ROUND((20*100*(K7-MIN($K$4:$K$28))/(MAX($K$4:$K$28)-MIN($K$4:$K$28))+60*100*(L7-MIN($L$4:$L$28))/(MAX($L$4:$L$28)-MIN($L$4:$L$28))+10*100*(N7-MIN($N$4:$N$28))/(MAX($N$4:$N$28)-MIN($N$4:$N$28))+10*100*(O7-MIN($O$4:$O$28))/(MAX($O$4:$O$28)-MIN($O$4:$O$28)))/100,1))</f>
        <v>40.2</v>
      </c>
      <c r="R7" s="7" t="n">
        <f aca="false">IF(J7=0,"n/a",RANK(Q7,$Q$4:$Q$28))</f>
        <v>11</v>
      </c>
      <c r="S7" s="7" t="n">
        <f aca="false">IF(J7=0,4,IF(R7&lt;=7,1,IF(R7&lt;=12,2,IF(R7&lt;=19,3,4))))</f>
        <v>2</v>
      </c>
    </row>
    <row r="8" customFormat="false" ht="15" hidden="false" customHeight="true" outlineLevel="0" collapsed="false">
      <c r="E8" s="7" t="s">
        <v>256</v>
      </c>
      <c r="F8" s="8" t="n">
        <f aca="false">SUMIF('State Market Summary'!$T$4:$T$54,"T05",'State Market Summary'!$B$4:$B$54)</f>
        <v>1107</v>
      </c>
      <c r="G8" s="8" t="n">
        <f aca="false">SUMIF('State Market Summary'!$T$4:$T$54,"T05",'State Market Summary'!$C$4:$C$54)</f>
        <v>273</v>
      </c>
      <c r="H8" s="8" t="n">
        <f aca="false">SUMIF('State Market Summary'!$T$4:$T$54,"T05",'State Market Summary'!$N$4:$N$54)</f>
        <v>278</v>
      </c>
      <c r="I8" s="8" t="n">
        <f aca="false">SUMIF('State Market Summary'!$T$4:$T$54,"T05",'State Market Summary'!$O$4:$O$54)</f>
        <v>120</v>
      </c>
      <c r="J8" s="21" t="n">
        <v>2</v>
      </c>
      <c r="K8" s="8" t="n">
        <f aca="false">IF(J8=0,"unstaffed",ROUND(F8/J8,0))</f>
        <v>554</v>
      </c>
      <c r="L8" s="22" t="n">
        <f aca="false">IF(J8=0,"unstaffed",ROUND(G8/J8,1))</f>
        <v>136.5</v>
      </c>
      <c r="M8" s="23" t="n">
        <f aca="false">H8/F8</f>
        <v>0.251129177958446</v>
      </c>
      <c r="N8" s="24" t="n">
        <v>1780020</v>
      </c>
      <c r="O8" s="25" t="n">
        <v>71602</v>
      </c>
      <c r="P8" s="26" t="n">
        <v>32.2</v>
      </c>
      <c r="Q8" s="27" t="n">
        <f aca="false">IF(J8=0,"unstaffed",ROUND((20*100*(K8-MIN($K$4:$K$28))/(MAX($K$4:$K$28)-MIN($K$4:$K$28))+60*100*(L8-MIN($L$4:$L$28))/(MAX($L$4:$L$28)-MIN($L$4:$L$28))+10*100*(N8-MIN($N$4:$N$28))/(MAX($N$4:$N$28)-MIN($N$4:$N$28))+10*100*(O8-MIN($O$4:$O$28))/(MAX($O$4:$O$28)-MIN($O$4:$O$28)))/100,1))</f>
        <v>23.9</v>
      </c>
      <c r="R8" s="7" t="n">
        <f aca="false">IF(J8=0,"n/a",RANK(Q8,$Q$4:$Q$28))</f>
        <v>20</v>
      </c>
      <c r="S8" s="7" t="n">
        <f aca="false">IF(J8=0,4,IF(R8&lt;=7,1,IF(R8&lt;=12,2,IF(R8&lt;=19,3,4))))</f>
        <v>4</v>
      </c>
    </row>
    <row r="9" customFormat="false" ht="15" hidden="false" customHeight="true" outlineLevel="0" collapsed="false">
      <c r="E9" s="7" t="s">
        <v>257</v>
      </c>
      <c r="F9" s="8" t="n">
        <f aca="false">SUMIF('State Market Summary'!$T$4:$T$54,"T06",'State Market Summary'!$B$4:$B$54)</f>
        <v>1035</v>
      </c>
      <c r="G9" s="8" t="n">
        <f aca="false">SUMIF('State Market Summary'!$T$4:$T$54,"T06",'State Market Summary'!$C$4:$C$54)</f>
        <v>338</v>
      </c>
      <c r="H9" s="8" t="n">
        <f aca="false">SUMIF('State Market Summary'!$T$4:$T$54,"T06",'State Market Summary'!$N$4:$N$54)</f>
        <v>432</v>
      </c>
      <c r="I9" s="8" t="n">
        <f aca="false">SUMIF('State Market Summary'!$T$4:$T$54,"T06",'State Market Summary'!$O$4:$O$54)</f>
        <v>113</v>
      </c>
      <c r="J9" s="21" t="n">
        <v>2</v>
      </c>
      <c r="K9" s="8" t="n">
        <f aca="false">IF(J9=0,"unstaffed",ROUND(F9/J9,0))</f>
        <v>518</v>
      </c>
      <c r="L9" s="22" t="n">
        <f aca="false">IF(J9=0,"unstaffed",ROUND(G9/J9,1))</f>
        <v>169</v>
      </c>
      <c r="M9" s="23" t="n">
        <f aca="false">H9/F9</f>
        <v>0.417391304347826</v>
      </c>
      <c r="N9" s="24" t="n">
        <v>1985432</v>
      </c>
      <c r="O9" s="25" t="n">
        <v>89604</v>
      </c>
      <c r="P9" s="26" t="n">
        <v>37.1</v>
      </c>
      <c r="Q9" s="27" t="n">
        <f aca="false">IF(J9=0,"unstaffed",ROUND((20*100*(K9-MIN($K$4:$K$28))/(MAX($K$4:$K$28)-MIN($K$4:$K$28))+60*100*(L9-MIN($L$4:$L$28))/(MAX($L$4:$L$28)-MIN($L$4:$L$28))+10*100*(N9-MIN($N$4:$N$28))/(MAX($N$4:$N$28)-MIN($N$4:$N$28))+10*100*(O9-MIN($O$4:$O$28))/(MAX($O$4:$O$28)-MIN($O$4:$O$28)))/100,1))</f>
        <v>35.9</v>
      </c>
      <c r="R9" s="7" t="n">
        <f aca="false">IF(J9=0,"n/a",RANK(Q9,$Q$4:$Q$28))</f>
        <v>16</v>
      </c>
      <c r="S9" s="7" t="n">
        <f aca="false">IF(J9=0,4,IF(R9&lt;=7,1,IF(R9&lt;=12,2,IF(R9&lt;=19,3,4))))</f>
        <v>3</v>
      </c>
    </row>
    <row r="10" customFormat="false" ht="15" hidden="false" customHeight="true" outlineLevel="0" collapsed="false">
      <c r="E10" s="7" t="s">
        <v>258</v>
      </c>
      <c r="F10" s="8" t="n">
        <f aca="false">SUMIF('State Market Summary'!$T$4:$T$54,"T07",'State Market Summary'!$B$4:$B$54)</f>
        <v>746</v>
      </c>
      <c r="G10" s="8" t="n">
        <f aca="false">SUMIF('State Market Summary'!$T$4:$T$54,"T07",'State Market Summary'!$C$4:$C$54)</f>
        <v>207</v>
      </c>
      <c r="H10" s="8" t="n">
        <f aca="false">SUMIF('State Market Summary'!$T$4:$T$54,"T07",'State Market Summary'!$N$4:$N$54)</f>
        <v>430</v>
      </c>
      <c r="I10" s="8" t="n">
        <f aca="false">SUMIF('State Market Summary'!$T$4:$T$54,"T07",'State Market Summary'!$O$4:$O$54)</f>
        <v>95</v>
      </c>
      <c r="J10" s="21" t="n">
        <v>1</v>
      </c>
      <c r="K10" s="8" t="n">
        <f aca="false">IF(J10=0,"unstaffed",ROUND(F10/J10,0))</f>
        <v>746</v>
      </c>
      <c r="L10" s="22" t="n">
        <f aca="false">IF(J10=0,"unstaffed",ROUND(G10/J10,1))</f>
        <v>207</v>
      </c>
      <c r="M10" s="23" t="n">
        <f aca="false">H10/F10</f>
        <v>0.576407506702413</v>
      </c>
      <c r="N10" s="24" t="n">
        <v>910821</v>
      </c>
      <c r="O10" s="25" t="n">
        <v>72965</v>
      </c>
      <c r="P10" s="26" t="n">
        <v>31.3</v>
      </c>
      <c r="Q10" s="27" t="n">
        <f aca="false">IF(J10=0,"unstaffed",ROUND((20*100*(K10-MIN($K$4:$K$28))/(MAX($K$4:$K$28)-MIN($K$4:$K$28))+60*100*(L10-MIN($L$4:$L$28))/(MAX($L$4:$L$28)-MIN($L$4:$L$28))+10*100*(N10-MIN($N$4:$N$28))/(MAX($N$4:$N$28)-MIN($N$4:$N$28))+10*100*(O10-MIN($O$4:$O$28))/(MAX($O$4:$O$28)-MIN($O$4:$O$28)))/100,1))</f>
        <v>45.5</v>
      </c>
      <c r="R10" s="7" t="n">
        <f aca="false">IF(J10=0,"n/a",RANK(Q10,$Q$4:$Q$28))</f>
        <v>8</v>
      </c>
      <c r="S10" s="7" t="n">
        <f aca="false">IF(J10=0,4,IF(R10&lt;=7,1,IF(R10&lt;=12,2,IF(R10&lt;=19,3,4))))</f>
        <v>2</v>
      </c>
    </row>
    <row r="11" customFormat="false" ht="15" hidden="false" customHeight="true" outlineLevel="0" collapsed="false">
      <c r="E11" s="7" t="s">
        <v>259</v>
      </c>
      <c r="F11" s="8" t="n">
        <f aca="false">SUMIF('State Market Summary'!$T$4:$T$54,"T08",'State Market Summary'!$B$4:$B$54)</f>
        <v>918</v>
      </c>
      <c r="G11" s="8" t="n">
        <f aca="false">SUMIF('State Market Summary'!$T$4:$T$54,"T08",'State Market Summary'!$C$4:$C$54)</f>
        <v>279</v>
      </c>
      <c r="H11" s="8" t="n">
        <f aca="false">SUMIF('State Market Summary'!$T$4:$T$54,"T08",'State Market Summary'!$N$4:$N$54)</f>
        <v>430</v>
      </c>
      <c r="I11" s="8" t="n">
        <f aca="false">SUMIF('State Market Summary'!$T$4:$T$54,"T08",'State Market Summary'!$O$4:$O$54)</f>
        <v>135</v>
      </c>
      <c r="J11" s="21" t="n">
        <v>1</v>
      </c>
      <c r="K11" s="8" t="n">
        <f aca="false">IF(J11=0,"unstaffed",ROUND(F11/J11,0))</f>
        <v>918</v>
      </c>
      <c r="L11" s="22" t="n">
        <f aca="false">IF(J11=0,"unstaffed",ROUND(G11/J11,1))</f>
        <v>279</v>
      </c>
      <c r="M11" s="23" t="n">
        <f aca="false">H11/F11</f>
        <v>0.468409586056645</v>
      </c>
      <c r="N11" s="24" t="n">
        <v>1294309</v>
      </c>
      <c r="O11" s="25" t="n">
        <v>97019</v>
      </c>
      <c r="P11" s="26" t="n">
        <v>42.3</v>
      </c>
      <c r="Q11" s="27" t="n">
        <f aca="false">IF(J11=0,"unstaffed",ROUND((20*100*(K11-MIN($K$4:$K$28))/(MAX($K$4:$K$28)-MIN($K$4:$K$28))+60*100*(L11-MIN($L$4:$L$28))/(MAX($L$4:$L$28)-MIN($L$4:$L$28))+10*100*(N11-MIN($N$4:$N$28))/(MAX($N$4:$N$28)-MIN($N$4:$N$28))+10*100*(O11-MIN($O$4:$O$28))/(MAX($O$4:$O$28)-MIN($O$4:$O$28)))/100,1))</f>
        <v>76.4</v>
      </c>
      <c r="R11" s="7" t="n">
        <f aca="false">IF(J11=0,"n/a",RANK(Q11,$Q$4:$Q$28))</f>
        <v>2</v>
      </c>
      <c r="S11" s="7" t="n">
        <f aca="false">IF(J11=0,4,IF(R11&lt;=7,1,IF(R11&lt;=12,2,IF(R11&lt;=19,3,4))))</f>
        <v>1</v>
      </c>
    </row>
    <row r="12" customFormat="false" ht="15" hidden="false" customHeight="true" outlineLevel="0" collapsed="false">
      <c r="E12" s="7" t="s">
        <v>260</v>
      </c>
      <c r="F12" s="8" t="n">
        <f aca="false">SUMIF('State Market Summary'!$T$4:$T$54,"T09",'State Market Summary'!$B$4:$B$54)</f>
        <v>758</v>
      </c>
      <c r="G12" s="8" t="n">
        <f aca="false">SUMIF('State Market Summary'!$T$4:$T$54,"T09",'State Market Summary'!$C$4:$C$54)</f>
        <v>176</v>
      </c>
      <c r="H12" s="8" t="n">
        <f aca="false">SUMIF('State Market Summary'!$T$4:$T$54,"T09",'State Market Summary'!$N$4:$N$54)</f>
        <v>373</v>
      </c>
      <c r="I12" s="8" t="n">
        <f aca="false">SUMIF('State Market Summary'!$T$4:$T$54,"T09",'State Market Summary'!$O$4:$O$54)</f>
        <v>87</v>
      </c>
      <c r="J12" s="21" t="n">
        <v>1</v>
      </c>
      <c r="K12" s="8" t="n">
        <f aca="false">IF(J12=0,"unstaffed",ROUND(F12/J12,0))</f>
        <v>758</v>
      </c>
      <c r="L12" s="22" t="n">
        <f aca="false">IF(J12=0,"unstaffed",ROUND(G12/J12,1))</f>
        <v>176</v>
      </c>
      <c r="M12" s="23" t="n">
        <f aca="false">H12/F12</f>
        <v>0.492084432717678</v>
      </c>
      <c r="N12" s="24" t="n">
        <v>1084210</v>
      </c>
      <c r="O12" s="25" t="n">
        <v>81797</v>
      </c>
      <c r="P12" s="26" t="n">
        <v>35.1</v>
      </c>
      <c r="Q12" s="27" t="n">
        <f aca="false">IF(J12=0,"unstaffed",ROUND((20*100*(K12-MIN($K$4:$K$28))/(MAX($K$4:$K$28)-MIN($K$4:$K$28))+60*100*(L12-MIN($L$4:$L$28))/(MAX($L$4:$L$28)-MIN($L$4:$L$28))+10*100*(N12-MIN($N$4:$N$28))/(MAX($N$4:$N$28)-MIN($N$4:$N$28))+10*100*(O12-MIN($O$4:$O$28))/(MAX($O$4:$O$28)-MIN($O$4:$O$28)))/100,1))</f>
        <v>41.2</v>
      </c>
      <c r="R12" s="7" t="n">
        <f aca="false">IF(J12=0,"n/a",RANK(Q12,$Q$4:$Q$28))</f>
        <v>10</v>
      </c>
      <c r="S12" s="7" t="n">
        <f aca="false">IF(J12=0,4,IF(R12&lt;=7,1,IF(R12&lt;=12,2,IF(R12&lt;=19,3,4))))</f>
        <v>2</v>
      </c>
    </row>
    <row r="13" customFormat="false" ht="15" hidden="false" customHeight="true" outlineLevel="0" collapsed="false">
      <c r="E13" s="7" t="s">
        <v>261</v>
      </c>
      <c r="F13" s="8" t="n">
        <f aca="false">SUMIF('State Market Summary'!$T$4:$T$54,"T10",'State Market Summary'!$B$4:$B$54)</f>
        <v>664</v>
      </c>
      <c r="G13" s="8" t="n">
        <f aca="false">SUMIF('State Market Summary'!$T$4:$T$54,"T10",'State Market Summary'!$C$4:$C$54)</f>
        <v>200</v>
      </c>
      <c r="H13" s="8" t="n">
        <f aca="false">SUMIF('State Market Summary'!$T$4:$T$54,"T10",'State Market Summary'!$N$4:$N$54)</f>
        <v>274</v>
      </c>
      <c r="I13" s="8" t="n">
        <f aca="false">SUMIF('State Market Summary'!$T$4:$T$54,"T10",'State Market Summary'!$O$4:$O$54)</f>
        <v>81</v>
      </c>
      <c r="J13" s="21" t="n">
        <v>1</v>
      </c>
      <c r="K13" s="8" t="n">
        <f aca="false">IF(J13=0,"unstaffed",ROUND(F13/J13,0))</f>
        <v>664</v>
      </c>
      <c r="L13" s="22" t="n">
        <f aca="false">IF(J13=0,"unstaffed",ROUND(G13/J13,1))</f>
        <v>200</v>
      </c>
      <c r="M13" s="23" t="n">
        <f aca="false">H13/F13</f>
        <v>0.412650602409639</v>
      </c>
      <c r="N13" s="24" t="n">
        <v>995376</v>
      </c>
      <c r="O13" s="25" t="n">
        <v>67472</v>
      </c>
      <c r="P13" s="26" t="n">
        <v>29.2</v>
      </c>
      <c r="Q13" s="27" t="n">
        <f aca="false">IF(J13=0,"unstaffed",ROUND((20*100*(K13-MIN($K$4:$K$28))/(MAX($K$4:$K$28)-MIN($K$4:$K$28))+60*100*(L13-MIN($L$4:$L$28))/(MAX($L$4:$L$28)-MIN($L$4:$L$28))+10*100*(N13-MIN($N$4:$N$28))/(MAX($N$4:$N$28)-MIN($N$4:$N$28))+10*100*(O13-MIN($O$4:$O$28))/(MAX($O$4:$O$28)-MIN($O$4:$O$28)))/100,1))</f>
        <v>39.7</v>
      </c>
      <c r="R13" s="7" t="n">
        <f aca="false">IF(J13=0,"n/a",RANK(Q13,$Q$4:$Q$28))</f>
        <v>13</v>
      </c>
      <c r="S13" s="7" t="n">
        <f aca="false">IF(J13=0,4,IF(R13&lt;=7,1,IF(R13&lt;=12,2,IF(R13&lt;=19,3,4))))</f>
        <v>3</v>
      </c>
    </row>
    <row r="14" customFormat="false" ht="15" hidden="false" customHeight="true" outlineLevel="0" collapsed="false">
      <c r="E14" s="7" t="s">
        <v>262</v>
      </c>
      <c r="F14" s="8" t="n">
        <f aca="false">SUMIF('State Market Summary'!$T$4:$T$54,"T11",'State Market Summary'!$B$4:$B$54)</f>
        <v>683</v>
      </c>
      <c r="G14" s="8" t="n">
        <f aca="false">SUMIF('State Market Summary'!$T$4:$T$54,"T11",'State Market Summary'!$C$4:$C$54)</f>
        <v>220</v>
      </c>
      <c r="H14" s="8" t="n">
        <f aca="false">SUMIF('State Market Summary'!$T$4:$T$54,"T11",'State Market Summary'!$N$4:$N$54)</f>
        <v>122</v>
      </c>
      <c r="I14" s="8" t="n">
        <f aca="false">SUMIF('State Market Summary'!$T$4:$T$54,"T11",'State Market Summary'!$O$4:$O$54)</f>
        <v>49</v>
      </c>
      <c r="J14" s="21" t="n">
        <v>1</v>
      </c>
      <c r="K14" s="8" t="n">
        <f aca="false">IF(J14=0,"unstaffed",ROUND(F14/J14,0))</f>
        <v>683</v>
      </c>
      <c r="L14" s="22" t="n">
        <f aca="false">IF(J14=0,"unstaffed",ROUND(G14/J14,1))</f>
        <v>220</v>
      </c>
      <c r="M14" s="23" t="n">
        <f aca="false">H14/F14</f>
        <v>0.178623718887262</v>
      </c>
      <c r="N14" s="24" t="n">
        <v>1070611</v>
      </c>
      <c r="O14" s="25" t="n">
        <v>75694</v>
      </c>
      <c r="P14" s="26" t="n">
        <v>33.4</v>
      </c>
      <c r="Q14" s="27" t="n">
        <f aca="false">IF(J14=0,"unstaffed",ROUND((20*100*(K14-MIN($K$4:$K$28))/(MAX($K$4:$K$28)-MIN($K$4:$K$28))+60*100*(L14-MIN($L$4:$L$28))/(MAX($L$4:$L$28)-MIN($L$4:$L$28))+10*100*(N14-MIN($N$4:$N$28))/(MAX($N$4:$N$28)-MIN($N$4:$N$28))+10*100*(O14-MIN($O$4:$O$28))/(MAX($O$4:$O$28)-MIN($O$4:$O$28)))/100,1))</f>
        <v>47.6</v>
      </c>
      <c r="R14" s="7" t="n">
        <f aca="false">IF(J14=0,"n/a",RANK(Q14,$Q$4:$Q$28))</f>
        <v>6</v>
      </c>
      <c r="S14" s="7" t="n">
        <f aca="false">IF(J14=0,4,IF(R14&lt;=7,1,IF(R14&lt;=12,2,IF(R14&lt;=19,3,4))))</f>
        <v>1</v>
      </c>
    </row>
    <row r="15" customFormat="false" ht="15" hidden="false" customHeight="true" outlineLevel="0" collapsed="false">
      <c r="E15" s="7" t="s">
        <v>263</v>
      </c>
      <c r="F15" s="8" t="n">
        <f aca="false">SUMIF('State Market Summary'!$T$4:$T$54,"T12",'State Market Summary'!$B$4:$B$54)</f>
        <v>734</v>
      </c>
      <c r="G15" s="8" t="n">
        <f aca="false">SUMIF('State Market Summary'!$T$4:$T$54,"T12",'State Market Summary'!$C$4:$C$54)</f>
        <v>225</v>
      </c>
      <c r="H15" s="8" t="n">
        <f aca="false">SUMIF('State Market Summary'!$T$4:$T$54,"T12",'State Market Summary'!$N$4:$N$54)</f>
        <v>383</v>
      </c>
      <c r="I15" s="8" t="n">
        <f aca="false">SUMIF('State Market Summary'!$T$4:$T$54,"T12",'State Market Summary'!$O$4:$O$54)</f>
        <v>112</v>
      </c>
      <c r="J15" s="21" t="n">
        <v>1</v>
      </c>
      <c r="K15" s="8" t="n">
        <f aca="false">IF(J15=0,"unstaffed",ROUND(F15/J15,0))</f>
        <v>734</v>
      </c>
      <c r="L15" s="22" t="n">
        <f aca="false">IF(J15=0,"unstaffed",ROUND(G15/J15,1))</f>
        <v>225</v>
      </c>
      <c r="M15" s="23" t="n">
        <f aca="false">H15/F15</f>
        <v>0.521798365122616</v>
      </c>
      <c r="N15" s="24" t="n">
        <v>1119028</v>
      </c>
      <c r="O15" s="25" t="n">
        <v>90198</v>
      </c>
      <c r="P15" s="26" t="n">
        <v>36.3</v>
      </c>
      <c r="Q15" s="27" t="n">
        <f aca="false">IF(J15=0,"unstaffed",ROUND((20*100*(K15-MIN($K$4:$K$28))/(MAX($K$4:$K$28)-MIN($K$4:$K$28))+60*100*(L15-MIN($L$4:$L$28))/(MAX($L$4:$L$28)-MIN($L$4:$L$28))+10*100*(N15-MIN($N$4:$N$28))/(MAX($N$4:$N$28)-MIN($N$4:$N$28))+10*100*(O15-MIN($O$4:$O$28))/(MAX($O$4:$O$28)-MIN($O$4:$O$28)))/100,1))</f>
        <v>54.6</v>
      </c>
      <c r="R15" s="7" t="n">
        <f aca="false">IF(J15=0,"n/a",RANK(Q15,$Q$4:$Q$28))</f>
        <v>5</v>
      </c>
      <c r="S15" s="7" t="n">
        <f aca="false">IF(J15=0,4,IF(R15&lt;=7,1,IF(R15&lt;=12,2,IF(R15&lt;=19,3,4))))</f>
        <v>1</v>
      </c>
    </row>
    <row r="16" customFormat="false" ht="15" hidden="false" customHeight="true" outlineLevel="0" collapsed="false">
      <c r="E16" s="7" t="s">
        <v>264</v>
      </c>
      <c r="F16" s="8" t="n">
        <f aca="false">SUMIF('State Market Summary'!$T$4:$T$54,"T13",'State Market Summary'!$B$4:$B$54)</f>
        <v>779</v>
      </c>
      <c r="G16" s="8" t="n">
        <f aca="false">SUMIF('State Market Summary'!$T$4:$T$54,"T13",'State Market Summary'!$C$4:$C$54)</f>
        <v>181</v>
      </c>
      <c r="H16" s="8" t="n">
        <f aca="false">SUMIF('State Market Summary'!$T$4:$T$54,"T13",'State Market Summary'!$N$4:$N$54)</f>
        <v>306</v>
      </c>
      <c r="I16" s="8" t="n">
        <f aca="false">SUMIF('State Market Summary'!$T$4:$T$54,"T13",'State Market Summary'!$O$4:$O$54)</f>
        <v>71</v>
      </c>
      <c r="J16" s="21" t="n">
        <v>1</v>
      </c>
      <c r="K16" s="8" t="n">
        <f aca="false">IF(J16=0,"unstaffed",ROUND(F16/J16,0))</f>
        <v>779</v>
      </c>
      <c r="L16" s="22" t="n">
        <f aca="false">IF(J16=0,"unstaffed",ROUND(G16/J16,1))</f>
        <v>181</v>
      </c>
      <c r="M16" s="23" t="n">
        <f aca="false">H16/F16</f>
        <v>0.392811296534018</v>
      </c>
      <c r="N16" s="24" t="n">
        <v>975468</v>
      </c>
      <c r="O16" s="25" t="n">
        <v>70436</v>
      </c>
      <c r="P16" s="26" t="n">
        <v>34</v>
      </c>
      <c r="Q16" s="27" t="n">
        <f aca="false">IF(J16=0,"unstaffed",ROUND((20*100*(K16-MIN($K$4:$K$28))/(MAX($K$4:$K$28)-MIN($K$4:$K$28))+60*100*(L16-MIN($L$4:$L$28))/(MAX($L$4:$L$28)-MIN($L$4:$L$28))+10*100*(N16-MIN($N$4:$N$28))/(MAX($N$4:$N$28)-MIN($N$4:$N$28))+10*100*(O16-MIN($O$4:$O$28))/(MAX($O$4:$O$28)-MIN($O$4:$O$28)))/100,1))</f>
        <v>39.9</v>
      </c>
      <c r="R16" s="7" t="n">
        <f aca="false">IF(J16=0,"n/a",RANK(Q16,$Q$4:$Q$28))</f>
        <v>12</v>
      </c>
      <c r="S16" s="7" t="n">
        <f aca="false">IF(J16=0,4,IF(R16&lt;=7,1,IF(R16&lt;=12,2,IF(R16&lt;=19,3,4))))</f>
        <v>2</v>
      </c>
    </row>
    <row r="17" customFormat="false" ht="15" hidden="false" customHeight="true" outlineLevel="0" collapsed="false">
      <c r="E17" s="7" t="s">
        <v>265</v>
      </c>
      <c r="F17" s="8" t="n">
        <f aca="false">SUMIF('State Market Summary'!$T$4:$T$54,"T14",'State Market Summary'!$B$4:$B$54)</f>
        <v>597</v>
      </c>
      <c r="G17" s="8" t="n">
        <f aca="false">SUMIF('State Market Summary'!$T$4:$T$54,"T14",'State Market Summary'!$C$4:$C$54)</f>
        <v>198</v>
      </c>
      <c r="H17" s="8" t="n">
        <f aca="false">SUMIF('State Market Summary'!$T$4:$T$54,"T14",'State Market Summary'!$N$4:$N$54)</f>
        <v>205</v>
      </c>
      <c r="I17" s="8" t="n">
        <f aca="false">SUMIF('State Market Summary'!$T$4:$T$54,"T14",'State Market Summary'!$O$4:$O$54)</f>
        <v>79</v>
      </c>
      <c r="J17" s="21" t="n">
        <v>1</v>
      </c>
      <c r="K17" s="8" t="n">
        <f aca="false">IF(J17=0,"unstaffed",ROUND(F17/J17,0))</f>
        <v>597</v>
      </c>
      <c r="L17" s="22" t="n">
        <f aca="false">IF(J17=0,"unstaffed",ROUND(G17/J17,1))</f>
        <v>198</v>
      </c>
      <c r="M17" s="23" t="n">
        <f aca="false">H17/F17</f>
        <v>0.343383584589615</v>
      </c>
      <c r="N17" s="24" t="n">
        <v>1097099</v>
      </c>
      <c r="O17" s="25" t="n">
        <v>68598</v>
      </c>
      <c r="P17" s="26" t="n">
        <v>30.5</v>
      </c>
      <c r="Q17" s="27" t="n">
        <f aca="false">IF(J17=0,"unstaffed",ROUND((20*100*(K17-MIN($K$4:$K$28))/(MAX($K$4:$K$28)-MIN($K$4:$K$28))+60*100*(L17-MIN($L$4:$L$28))/(MAX($L$4:$L$28)-MIN($L$4:$L$28))+10*100*(N17-MIN($N$4:$N$28))/(MAX($N$4:$N$28)-MIN($N$4:$N$28))+10*100*(O17-MIN($O$4:$O$28))/(MAX($O$4:$O$28)-MIN($O$4:$O$28)))/100,1))</f>
        <v>37.5</v>
      </c>
      <c r="R17" s="7" t="n">
        <f aca="false">IF(J17=0,"n/a",RANK(Q17,$Q$4:$Q$28))</f>
        <v>15</v>
      </c>
      <c r="S17" s="7" t="n">
        <f aca="false">IF(J17=0,4,IF(R17&lt;=7,1,IF(R17&lt;=12,2,IF(R17&lt;=19,3,4))))</f>
        <v>3</v>
      </c>
    </row>
    <row r="18" customFormat="false" ht="15" hidden="false" customHeight="true" outlineLevel="0" collapsed="false">
      <c r="E18" s="7" t="s">
        <v>266</v>
      </c>
      <c r="F18" s="8" t="n">
        <f aca="false">SUMIF('State Market Summary'!$T$4:$T$54,"T15",'State Market Summary'!$B$4:$B$54)</f>
        <v>594</v>
      </c>
      <c r="G18" s="8" t="n">
        <f aca="false">SUMIF('State Market Summary'!$T$4:$T$54,"T15",'State Market Summary'!$C$4:$C$54)</f>
        <v>231</v>
      </c>
      <c r="H18" s="8" t="n">
        <f aca="false">SUMIF('State Market Summary'!$T$4:$T$54,"T15",'State Market Summary'!$N$4:$N$54)</f>
        <v>199</v>
      </c>
      <c r="I18" s="8" t="n">
        <f aca="false">SUMIF('State Market Summary'!$T$4:$T$54,"T15",'State Market Summary'!$O$4:$O$54)</f>
        <v>83</v>
      </c>
      <c r="J18" s="21" t="n">
        <v>1</v>
      </c>
      <c r="K18" s="8" t="n">
        <f aca="false">IF(J18=0,"unstaffed",ROUND(F18/J18,0))</f>
        <v>594</v>
      </c>
      <c r="L18" s="22" t="n">
        <f aca="false">IF(J18=0,"unstaffed",ROUND(G18/J18,1))</f>
        <v>231</v>
      </c>
      <c r="M18" s="23" t="n">
        <f aca="false">H18/F18</f>
        <v>0.335016835016835</v>
      </c>
      <c r="N18" s="24" t="n">
        <v>1257732</v>
      </c>
      <c r="O18" s="25" t="n">
        <v>75026</v>
      </c>
      <c r="P18" s="26" t="n">
        <v>30</v>
      </c>
      <c r="Q18" s="27" t="n">
        <f aca="false">IF(J18=0,"unstaffed",ROUND((20*100*(K18-MIN($K$4:$K$28))/(MAX($K$4:$K$28)-MIN($K$4:$K$28))+60*100*(L18-MIN($L$4:$L$28))/(MAX($L$4:$L$28)-MIN($L$4:$L$28))+10*100*(N18-MIN($N$4:$N$28))/(MAX($N$4:$N$28)-MIN($N$4:$N$28))+10*100*(O18-MIN($O$4:$O$28))/(MAX($O$4:$O$28)-MIN($O$4:$O$28)))/100,1))</f>
        <v>47.6</v>
      </c>
      <c r="R18" s="7" t="n">
        <f aca="false">IF(J18=0,"n/a",RANK(Q18,$Q$4:$Q$28))</f>
        <v>6</v>
      </c>
      <c r="S18" s="7" t="n">
        <f aca="false">IF(J18=0,4,IF(R18&lt;=7,1,IF(R18&lt;=12,2,IF(R18&lt;=19,3,4))))</f>
        <v>1</v>
      </c>
    </row>
    <row r="19" customFormat="false" ht="15" hidden="false" customHeight="true" outlineLevel="0" collapsed="false">
      <c r="E19" s="7" t="s">
        <v>267</v>
      </c>
      <c r="F19" s="8" t="n">
        <f aca="false">SUMIF('State Market Summary'!$T$4:$T$54,"T16",'State Market Summary'!$B$4:$B$54)</f>
        <v>550</v>
      </c>
      <c r="G19" s="8" t="n">
        <f aca="false">SUMIF('State Market Summary'!$T$4:$T$54,"T16",'State Market Summary'!$C$4:$C$54)</f>
        <v>185</v>
      </c>
      <c r="H19" s="8" t="n">
        <f aca="false">SUMIF('State Market Summary'!$T$4:$T$54,"T16",'State Market Summary'!$N$4:$N$54)</f>
        <v>202</v>
      </c>
      <c r="I19" s="8" t="n">
        <f aca="false">SUMIF('State Market Summary'!$T$4:$T$54,"T16",'State Market Summary'!$O$4:$O$54)</f>
        <v>79</v>
      </c>
      <c r="J19" s="21" t="n">
        <v>1</v>
      </c>
      <c r="K19" s="8" t="n">
        <f aca="false">IF(J19=0,"unstaffed",ROUND(F19/J19,0))</f>
        <v>550</v>
      </c>
      <c r="L19" s="22" t="n">
        <f aca="false">IF(J19=0,"unstaffed",ROUND(G19/J19,1))</f>
        <v>185</v>
      </c>
      <c r="M19" s="23" t="n">
        <f aca="false">H19/F19</f>
        <v>0.367272727272727</v>
      </c>
      <c r="N19" s="24" t="n">
        <v>915366</v>
      </c>
      <c r="O19" s="25" t="n">
        <v>91862</v>
      </c>
      <c r="P19" s="26" t="n">
        <v>40.7</v>
      </c>
      <c r="Q19" s="27" t="n">
        <f aca="false">IF(J19=0,"unstaffed",ROUND((20*100*(K19-MIN($K$4:$K$28))/(MAX($K$4:$K$28)-MIN($K$4:$K$28))+60*100*(L19-MIN($L$4:$L$28))/(MAX($L$4:$L$28)-MIN($L$4:$L$28))+10*100*(N19-MIN($N$4:$N$28))/(MAX($N$4:$N$28)-MIN($N$4:$N$28))+10*100*(O19-MIN($O$4:$O$28))/(MAX($O$4:$O$28)-MIN($O$4:$O$28)))/100,1))</f>
        <v>38.3</v>
      </c>
      <c r="R19" s="7" t="n">
        <f aca="false">IF(J19=0,"n/a",RANK(Q19,$Q$4:$Q$28))</f>
        <v>14</v>
      </c>
      <c r="S19" s="7" t="n">
        <f aca="false">IF(J19=0,4,IF(R19&lt;=7,1,IF(R19&lt;=12,2,IF(R19&lt;=19,3,4))))</f>
        <v>3</v>
      </c>
    </row>
    <row r="20" customFormat="false" ht="15" hidden="false" customHeight="true" outlineLevel="0" collapsed="false">
      <c r="E20" s="7" t="s">
        <v>268</v>
      </c>
      <c r="F20" s="8" t="n">
        <f aca="false">SUMIF('State Market Summary'!$T$4:$T$54,"T17",'State Market Summary'!$B$4:$B$54)</f>
        <v>718</v>
      </c>
      <c r="G20" s="8" t="n">
        <f aca="false">SUMIF('State Market Summary'!$T$4:$T$54,"T17",'State Market Summary'!$C$4:$C$54)</f>
        <v>241</v>
      </c>
      <c r="H20" s="8" t="n">
        <f aca="false">SUMIF('State Market Summary'!$T$4:$T$54,"T17",'State Market Summary'!$N$4:$N$54)</f>
        <v>348</v>
      </c>
      <c r="I20" s="8" t="n">
        <f aca="false">SUMIF('State Market Summary'!$T$4:$T$54,"T17",'State Market Summary'!$O$4:$O$54)</f>
        <v>81</v>
      </c>
      <c r="J20" s="21" t="n">
        <v>1</v>
      </c>
      <c r="K20" s="8" t="n">
        <f aca="false">IF(J20=0,"unstaffed",ROUND(F20/J20,0))</f>
        <v>718</v>
      </c>
      <c r="L20" s="22" t="n">
        <f aca="false">IF(J20=0,"unstaffed",ROUND(G20/J20,1))</f>
        <v>241</v>
      </c>
      <c r="M20" s="23" t="n">
        <f aca="false">H20/F20</f>
        <v>0.484679665738162</v>
      </c>
      <c r="N20" s="24" t="n">
        <v>1191812</v>
      </c>
      <c r="O20" s="25" t="n">
        <v>84033</v>
      </c>
      <c r="P20" s="26" t="n">
        <v>36.3</v>
      </c>
      <c r="Q20" s="27" t="n">
        <f aca="false">IF(J20=0,"unstaffed",ROUND((20*100*(K20-MIN($K$4:$K$28))/(MAX($K$4:$K$28)-MIN($K$4:$K$28))+60*100*(L20-MIN($L$4:$L$28))/(MAX($L$4:$L$28)-MIN($L$4:$L$28))+10*100*(N20-MIN($N$4:$N$28))/(MAX($N$4:$N$28)-MIN($N$4:$N$28))+10*100*(O20-MIN($O$4:$O$28))/(MAX($O$4:$O$28)-MIN($O$4:$O$28)))/100,1))</f>
        <v>56.5</v>
      </c>
      <c r="R20" s="7" t="n">
        <f aca="false">IF(J20=0,"n/a",RANK(Q20,$Q$4:$Q$28))</f>
        <v>4</v>
      </c>
      <c r="S20" s="7" t="n">
        <f aca="false">IF(J20=0,4,IF(R20&lt;=7,1,IF(R20&lt;=12,2,IF(R20&lt;=19,3,4))))</f>
        <v>1</v>
      </c>
    </row>
    <row r="21" customFormat="false" ht="15" hidden="false" customHeight="true" outlineLevel="0" collapsed="false">
      <c r="E21" s="7" t="s">
        <v>269</v>
      </c>
      <c r="F21" s="8" t="n">
        <f aca="false">SUMIF('State Market Summary'!$T$4:$T$54,"T18",'State Market Summary'!$B$4:$B$54)</f>
        <v>462</v>
      </c>
      <c r="G21" s="8" t="n">
        <f aca="false">SUMIF('State Market Summary'!$T$4:$T$54,"T18",'State Market Summary'!$C$4:$C$54)</f>
        <v>174</v>
      </c>
      <c r="H21" s="8" t="n">
        <f aca="false">SUMIF('State Market Summary'!$T$4:$T$54,"T18",'State Market Summary'!$N$4:$N$54)</f>
        <v>89</v>
      </c>
      <c r="I21" s="8" t="n">
        <f aca="false">SUMIF('State Market Summary'!$T$4:$T$54,"T18",'State Market Summary'!$O$4:$O$54)</f>
        <v>37</v>
      </c>
      <c r="J21" s="21" t="n">
        <v>1</v>
      </c>
      <c r="K21" s="8" t="n">
        <f aca="false">IF(J21=0,"unstaffed",ROUND(F21/J21,0))</f>
        <v>462</v>
      </c>
      <c r="L21" s="22" t="n">
        <f aca="false">IF(J21=0,"unstaffed",ROUND(G21/J21,1))</f>
        <v>174</v>
      </c>
      <c r="M21" s="23" t="n">
        <f aca="false">H21/F21</f>
        <v>0.192640692640693</v>
      </c>
      <c r="N21" s="24" t="n">
        <v>772926</v>
      </c>
      <c r="O21" s="25" t="n">
        <v>60048</v>
      </c>
      <c r="P21" s="26" t="n">
        <v>26.1</v>
      </c>
      <c r="Q21" s="27" t="n">
        <f aca="false">IF(J21=0,"unstaffed",ROUND((20*100*(K21-MIN($K$4:$K$28))/(MAX($K$4:$K$28)-MIN($K$4:$K$28))+60*100*(L21-MIN($L$4:$L$28))/(MAX($L$4:$L$28)-MIN($L$4:$L$28))+10*100*(N21-MIN($N$4:$N$28))/(MAX($N$4:$N$28)-MIN($N$4:$N$28))+10*100*(O21-MIN($O$4:$O$28))/(MAX($O$4:$O$28)-MIN($O$4:$O$28)))/100,1))</f>
        <v>23.8</v>
      </c>
      <c r="R21" s="7" t="n">
        <f aca="false">IF(J21=0,"n/a",RANK(Q21,$Q$4:$Q$28))</f>
        <v>21</v>
      </c>
      <c r="S21" s="7" t="n">
        <f aca="false">IF(J21=0,4,IF(R21&lt;=7,1,IF(R21&lt;=12,2,IF(R21&lt;=19,3,4))))</f>
        <v>4</v>
      </c>
    </row>
    <row r="22" customFormat="false" ht="15" hidden="false" customHeight="true" outlineLevel="0" collapsed="false">
      <c r="E22" s="7" t="s">
        <v>270</v>
      </c>
      <c r="F22" s="8" t="n">
        <f aca="false">SUMIF('State Market Summary'!$T$4:$T$54,"T19",'State Market Summary'!$B$4:$B$54)</f>
        <v>477</v>
      </c>
      <c r="G22" s="8" t="n">
        <f aca="false">SUMIF('State Market Summary'!$T$4:$T$54,"T19",'State Market Summary'!$C$4:$C$54)</f>
        <v>176</v>
      </c>
      <c r="H22" s="8" t="n">
        <f aca="false">SUMIF('State Market Summary'!$T$4:$T$54,"T19",'State Market Summary'!$N$4:$N$54)</f>
        <v>201</v>
      </c>
      <c r="I22" s="8" t="n">
        <f aca="false">SUMIF('State Market Summary'!$T$4:$T$54,"T19",'State Market Summary'!$O$4:$O$54)</f>
        <v>69</v>
      </c>
      <c r="J22" s="21" t="n">
        <v>1</v>
      </c>
      <c r="K22" s="8" t="n">
        <f aca="false">IF(J22=0,"unstaffed",ROUND(F22/J22,0))</f>
        <v>477</v>
      </c>
      <c r="L22" s="22" t="n">
        <f aca="false">IF(J22=0,"unstaffed",ROUND(G22/J22,1))</f>
        <v>176</v>
      </c>
      <c r="M22" s="23" t="n">
        <f aca="false">H22/F22</f>
        <v>0.421383647798742</v>
      </c>
      <c r="N22" s="24" t="n">
        <v>739152</v>
      </c>
      <c r="O22" s="25" t="n">
        <v>59699</v>
      </c>
      <c r="P22" s="26" t="n">
        <v>25.6</v>
      </c>
      <c r="Q22" s="27" t="n">
        <f aca="false">IF(J22=0,"unstaffed",ROUND((20*100*(K22-MIN($K$4:$K$28))/(MAX($K$4:$K$28)-MIN($K$4:$K$28))+60*100*(L22-MIN($L$4:$L$28))/(MAX($L$4:$L$28)-MIN($L$4:$L$28))+10*100*(N22-MIN($N$4:$N$28))/(MAX($N$4:$N$28)-MIN($N$4:$N$28))+10*100*(O22-MIN($O$4:$O$28))/(MAX($O$4:$O$28)-MIN($O$4:$O$28)))/100,1))</f>
        <v>24.6</v>
      </c>
      <c r="R22" s="7" t="n">
        <f aca="false">IF(J22=0,"n/a",RANK(Q22,$Q$4:$Q$28))</f>
        <v>19</v>
      </c>
      <c r="S22" s="7" t="n">
        <f aca="false">IF(J22=0,4,IF(R22&lt;=7,1,IF(R22&lt;=12,2,IF(R22&lt;=19,3,4))))</f>
        <v>3</v>
      </c>
    </row>
    <row r="23" customFormat="false" ht="15" hidden="false" customHeight="true" outlineLevel="0" collapsed="false">
      <c r="E23" s="7" t="s">
        <v>271</v>
      </c>
      <c r="F23" s="8" t="n">
        <f aca="false">SUMIF('State Market Summary'!$T$4:$T$54,"T20",'State Market Summary'!$B$4:$B$54)</f>
        <v>442</v>
      </c>
      <c r="G23" s="8" t="n">
        <f aca="false">SUMIF('State Market Summary'!$T$4:$T$54,"T20",'State Market Summary'!$C$4:$C$54)</f>
        <v>111</v>
      </c>
      <c r="H23" s="8" t="n">
        <f aca="false">SUMIF('State Market Summary'!$T$4:$T$54,"T20",'State Market Summary'!$N$4:$N$54)</f>
        <v>173</v>
      </c>
      <c r="I23" s="8" t="n">
        <f aca="false">SUMIF('State Market Summary'!$T$4:$T$54,"T20",'State Market Summary'!$O$4:$O$54)</f>
        <v>48</v>
      </c>
      <c r="J23" s="21" t="n">
        <v>1</v>
      </c>
      <c r="K23" s="8" t="n">
        <f aca="false">IF(J23=0,"unstaffed",ROUND(F23/J23,0))</f>
        <v>442</v>
      </c>
      <c r="L23" s="22" t="n">
        <f aca="false">IF(J23=0,"unstaffed",ROUND(G23/J23,1))</f>
        <v>111</v>
      </c>
      <c r="M23" s="23" t="n">
        <f aca="false">H23/F23</f>
        <v>0.391402714932127</v>
      </c>
      <c r="N23" s="24" t="n">
        <v>663850</v>
      </c>
      <c r="O23" s="25" t="n">
        <v>70489</v>
      </c>
      <c r="P23" s="26" t="n">
        <v>28.5</v>
      </c>
      <c r="Q23" s="27" t="n">
        <f aca="false">IF(J23=0,"unstaffed",ROUND((20*100*(K23-MIN($K$4:$K$28))/(MAX($K$4:$K$28)-MIN($K$4:$K$28))+60*100*(L23-MIN($L$4:$L$28))/(MAX($L$4:$L$28)-MIN($L$4:$L$28))+10*100*(N23-MIN($N$4:$N$28))/(MAX($N$4:$N$28)-MIN($N$4:$N$28))+10*100*(O23-MIN($O$4:$O$28))/(MAX($O$4:$O$28)-MIN($O$4:$O$28)))/100,1))</f>
        <v>10.2</v>
      </c>
      <c r="R23" s="7" t="n">
        <f aca="false">IF(J23=0,"n/a",RANK(Q23,$Q$4:$Q$28))</f>
        <v>23</v>
      </c>
      <c r="S23" s="7" t="n">
        <f aca="false">IF(J23=0,4,IF(R23&lt;=7,1,IF(R23&lt;=12,2,IF(R23&lt;=19,3,4))))</f>
        <v>4</v>
      </c>
    </row>
    <row r="24" customFormat="false" ht="15" hidden="false" customHeight="true" outlineLevel="0" collapsed="false">
      <c r="E24" s="7" t="s">
        <v>272</v>
      </c>
      <c r="F24" s="8" t="n">
        <f aca="false">SUMIF('State Market Summary'!$T$4:$T$54,"T21",'State Market Summary'!$B$4:$B$54)</f>
        <v>478</v>
      </c>
      <c r="G24" s="8" t="n">
        <f aca="false">SUMIF('State Market Summary'!$T$4:$T$54,"T21",'State Market Summary'!$C$4:$C$54)</f>
        <v>137</v>
      </c>
      <c r="H24" s="8" t="n">
        <f aca="false">SUMIF('State Market Summary'!$T$4:$T$54,"T21",'State Market Summary'!$N$4:$N$54)</f>
        <v>241</v>
      </c>
      <c r="I24" s="8" t="n">
        <f aca="false">SUMIF('State Market Summary'!$T$4:$T$54,"T21",'State Market Summary'!$O$4:$O$54)</f>
        <v>49</v>
      </c>
      <c r="J24" s="21" t="n">
        <v>1</v>
      </c>
      <c r="K24" s="8" t="n">
        <f aca="false">IF(J24=0,"unstaffed",ROUND(F24/J24,0))</f>
        <v>478</v>
      </c>
      <c r="L24" s="22" t="n">
        <f aca="false">IF(J24=0,"unstaffed",ROUND(G24/J24,1))</f>
        <v>137</v>
      </c>
      <c r="M24" s="23" t="n">
        <f aca="false">H24/F24</f>
        <v>0.50418410041841</v>
      </c>
      <c r="N24" s="24" t="n">
        <v>794462</v>
      </c>
      <c r="O24" s="25" t="n">
        <v>97828</v>
      </c>
      <c r="P24" s="26" t="n">
        <v>41.2</v>
      </c>
      <c r="Q24" s="27" t="n">
        <f aca="false">IF(J24=0,"unstaffed",ROUND((20*100*(K24-MIN($K$4:$K$28))/(MAX($K$4:$K$28)-MIN($K$4:$K$28))+60*100*(L24-MIN($L$4:$L$28))/(MAX($L$4:$L$28)-MIN($L$4:$L$28))+10*100*(N24-MIN($N$4:$N$28))/(MAX($N$4:$N$28)-MIN($N$4:$N$28))+10*100*(O24-MIN($O$4:$O$28))/(MAX($O$4:$O$28)-MIN($O$4:$O$28)))/100,1))</f>
        <v>25.3</v>
      </c>
      <c r="R24" s="7" t="n">
        <f aca="false">IF(J24=0,"n/a",RANK(Q24,$Q$4:$Q$28))</f>
        <v>18</v>
      </c>
      <c r="S24" s="7" t="n">
        <f aca="false">IF(J24=0,4,IF(R24&lt;=7,1,IF(R24&lt;=12,2,IF(R24&lt;=19,3,4))))</f>
        <v>3</v>
      </c>
    </row>
    <row r="25" customFormat="false" ht="15" hidden="false" customHeight="true" outlineLevel="0" collapsed="false">
      <c r="E25" s="7" t="s">
        <v>273</v>
      </c>
      <c r="F25" s="8" t="n">
        <f aca="false">SUMIF('State Market Summary'!$T$4:$T$54,"T22",'State Market Summary'!$B$4:$B$54)</f>
        <v>489</v>
      </c>
      <c r="G25" s="8" t="n">
        <f aca="false">SUMIF('State Market Summary'!$T$4:$T$54,"T22",'State Market Summary'!$C$4:$C$54)</f>
        <v>168</v>
      </c>
      <c r="H25" s="8" t="n">
        <f aca="false">SUMIF('State Market Summary'!$T$4:$T$54,"T22",'State Market Summary'!$N$4:$N$54)</f>
        <v>199</v>
      </c>
      <c r="I25" s="8" t="n">
        <f aca="false">SUMIF('State Market Summary'!$T$4:$T$54,"T22",'State Market Summary'!$O$4:$O$54)</f>
        <v>78</v>
      </c>
      <c r="J25" s="21" t="n">
        <v>1</v>
      </c>
      <c r="K25" s="8" t="n">
        <f aca="false">IF(J25=0,"unstaffed",ROUND(F25/J25,0))</f>
        <v>489</v>
      </c>
      <c r="L25" s="22" t="n">
        <f aca="false">IF(J25=0,"unstaffed",ROUND(G25/J25,1))</f>
        <v>168</v>
      </c>
      <c r="M25" s="23" t="n">
        <f aca="false">H25/F25</f>
        <v>0.406952965235174</v>
      </c>
      <c r="N25" s="24" t="n">
        <v>860620</v>
      </c>
      <c r="O25" s="25" t="n">
        <v>94114</v>
      </c>
      <c r="P25" s="26" t="n">
        <v>39.1</v>
      </c>
      <c r="Q25" s="27" t="n">
        <f aca="false">IF(J25=0,"unstaffed",ROUND((20*100*(K25-MIN($K$4:$K$28))/(MAX($K$4:$K$28)-MIN($K$4:$K$28))+60*100*(L25-MIN($L$4:$L$28))/(MAX($L$4:$L$28)-MIN($L$4:$L$28))+10*100*(N25-MIN($N$4:$N$28))/(MAX($N$4:$N$28)-MIN($N$4:$N$28))+10*100*(O25-MIN($O$4:$O$28))/(MAX($O$4:$O$28)-MIN($O$4:$O$28)))/100,1))</f>
        <v>32.4</v>
      </c>
      <c r="R25" s="7" t="n">
        <f aca="false">IF(J25=0,"n/a",RANK(Q25,$Q$4:$Q$28))</f>
        <v>17</v>
      </c>
      <c r="S25" s="7" t="n">
        <f aca="false">IF(J25=0,4,IF(R25&lt;=7,1,IF(R25&lt;=12,2,IF(R25&lt;=19,3,4))))</f>
        <v>3</v>
      </c>
    </row>
    <row r="26" customFormat="false" ht="15" hidden="false" customHeight="true" outlineLevel="0" collapsed="false">
      <c r="E26" s="7" t="s">
        <v>274</v>
      </c>
      <c r="F26" s="8" t="n">
        <f aca="false">SUMIF('State Market Summary'!$T$4:$T$54,"T23",'State Market Summary'!$B$4:$B$54)</f>
        <v>401</v>
      </c>
      <c r="G26" s="8" t="n">
        <f aca="false">SUMIF('State Market Summary'!$T$4:$T$54,"T23",'State Market Summary'!$C$4:$C$54)</f>
        <v>124</v>
      </c>
      <c r="H26" s="8" t="n">
        <f aca="false">SUMIF('State Market Summary'!$T$4:$T$54,"T23",'State Market Summary'!$N$4:$N$54)</f>
        <v>159</v>
      </c>
      <c r="I26" s="8" t="n">
        <f aca="false">SUMIF('State Market Summary'!$T$4:$T$54,"T23",'State Market Summary'!$O$4:$O$54)</f>
        <v>44</v>
      </c>
      <c r="J26" s="21" t="n">
        <v>1</v>
      </c>
      <c r="K26" s="8" t="n">
        <f aca="false">IF(J26=0,"unstaffed",ROUND(F26/J26,0))</f>
        <v>401</v>
      </c>
      <c r="L26" s="22" t="n">
        <f aca="false">IF(J26=0,"unstaffed",ROUND(G26/J26,1))</f>
        <v>124</v>
      </c>
      <c r="M26" s="23" t="n">
        <f aca="false">H26/F26</f>
        <v>0.396508728179551</v>
      </c>
      <c r="N26" s="24" t="n">
        <v>634143</v>
      </c>
      <c r="O26" s="25" t="n">
        <v>67976</v>
      </c>
      <c r="P26" s="26" t="n">
        <v>29.8</v>
      </c>
      <c r="Q26" s="27" t="n">
        <f aca="false">IF(J26=0,"unstaffed",ROUND((20*100*(K26-MIN($K$4:$K$28))/(MAX($K$4:$K$28)-MIN($K$4:$K$28))+60*100*(L26-MIN($L$4:$L$28))/(MAX($L$4:$L$28)-MIN($L$4:$L$28))+10*100*(N26-MIN($N$4:$N$28))/(MAX($N$4:$N$28)-MIN($N$4:$N$28))+10*100*(O26-MIN($O$4:$O$28))/(MAX($O$4:$O$28)-MIN($O$4:$O$28)))/100,1))</f>
        <v>11.2</v>
      </c>
      <c r="R26" s="7" t="n">
        <f aca="false">IF(J26=0,"n/a",RANK(Q26,$Q$4:$Q$28))</f>
        <v>22</v>
      </c>
      <c r="S26" s="7" t="n">
        <f aca="false">IF(J26=0,4,IF(R26&lt;=7,1,IF(R26&lt;=12,2,IF(R26&lt;=19,3,4))))</f>
        <v>4</v>
      </c>
    </row>
    <row r="27" customFormat="false" ht="15" hidden="false" customHeight="true" outlineLevel="0" collapsed="false">
      <c r="E27" s="7" t="s">
        <v>275</v>
      </c>
      <c r="F27" s="8" t="n">
        <f aca="false">SUMIF('State Market Summary'!$T$4:$T$54,"T24",'State Market Summary'!$B$4:$B$54)</f>
        <v>345</v>
      </c>
      <c r="G27" s="8" t="n">
        <f aca="false">SUMIF('State Market Summary'!$T$4:$T$54,"T24",'State Market Summary'!$C$4:$C$54)</f>
        <v>111</v>
      </c>
      <c r="H27" s="8" t="n">
        <f aca="false">SUMIF('State Market Summary'!$T$4:$T$54,"T24",'State Market Summary'!$N$4:$N$54)</f>
        <v>168</v>
      </c>
      <c r="I27" s="8" t="n">
        <f aca="false">SUMIF('State Market Summary'!$T$4:$T$54,"T24",'State Market Summary'!$O$4:$O$54)</f>
        <v>55</v>
      </c>
      <c r="J27" s="21" t="n">
        <v>1</v>
      </c>
      <c r="K27" s="8" t="n">
        <f aca="false">IF(J27=0,"unstaffed",ROUND(F27/J27,0))</f>
        <v>345</v>
      </c>
      <c r="L27" s="22" t="n">
        <f aca="false">IF(J27=0,"unstaffed",ROUND(G27/J27,1))</f>
        <v>111</v>
      </c>
      <c r="M27" s="23" t="n">
        <f aca="false">H27/F27</f>
        <v>0.48695652173913</v>
      </c>
      <c r="N27" s="24" t="n">
        <v>528815</v>
      </c>
      <c r="O27" s="25" t="n">
        <v>73245</v>
      </c>
      <c r="P27" s="26" t="n">
        <v>30.7</v>
      </c>
      <c r="Q27" s="27" t="n">
        <f aca="false">IF(J27=0,"unstaffed",ROUND((20*100*(K27-MIN($K$4:$K$28))/(MAX($K$4:$K$28)-MIN($K$4:$K$28))+60*100*(L27-MIN($L$4:$L$28))/(MAX($L$4:$L$28)-MIN($L$4:$L$28))+10*100*(N27-MIN($N$4:$N$28))/(MAX($N$4:$N$28)-MIN($N$4:$N$28))+10*100*(O27-MIN($O$4:$O$28))/(MAX($O$4:$O$28)-MIN($O$4:$O$28)))/100,1))</f>
        <v>7.1</v>
      </c>
      <c r="R27" s="7" t="n">
        <f aca="false">IF(J27=0,"n/a",RANK(Q27,$Q$4:$Q$28))</f>
        <v>24</v>
      </c>
      <c r="S27" s="7" t="n">
        <f aca="false">IF(J27=0,4,IF(R27&lt;=7,1,IF(R27&lt;=12,2,IF(R27&lt;=19,3,4))))</f>
        <v>4</v>
      </c>
    </row>
    <row r="28" customFormat="false" ht="15" hidden="false" customHeight="true" outlineLevel="0" collapsed="false">
      <c r="E28" s="7" t="s">
        <v>276</v>
      </c>
      <c r="F28" s="8" t="n">
        <f aca="false">SUMIF('State Market Summary'!$T$4:$T$54,"T25",'State Market Summary'!$B$4:$B$54)</f>
        <v>364</v>
      </c>
      <c r="G28" s="8" t="n">
        <f aca="false">SUMIF('State Market Summary'!$T$4:$T$54,"T25",'State Market Summary'!$C$4:$C$54)</f>
        <v>97</v>
      </c>
      <c r="H28" s="8" t="n">
        <f aca="false">SUMIF('State Market Summary'!$T$4:$T$54,"T25",'State Market Summary'!$N$4:$N$54)</f>
        <v>149</v>
      </c>
      <c r="I28" s="8" t="n">
        <f aca="false">SUMIF('State Market Summary'!$T$4:$T$54,"T25",'State Market Summary'!$O$4:$O$54)</f>
        <v>28</v>
      </c>
      <c r="J28" s="21" t="n">
        <v>1</v>
      </c>
      <c r="K28" s="8" t="n">
        <f aca="false">IF(J28=0,"unstaffed",ROUND(F28/J28,0))</f>
        <v>364</v>
      </c>
      <c r="L28" s="22" t="n">
        <f aca="false">IF(J28=0,"unstaffed",ROUND(G28/J28,1))</f>
        <v>97</v>
      </c>
      <c r="M28" s="23" t="n">
        <f aca="false">H28/F28</f>
        <v>0.409340659340659</v>
      </c>
      <c r="N28" s="24" t="n">
        <v>473826</v>
      </c>
      <c r="O28" s="25" t="n">
        <v>65973</v>
      </c>
      <c r="P28" s="26" t="n">
        <v>30.6</v>
      </c>
      <c r="Q28" s="27" t="n">
        <f aca="false">IF(J28=0,"unstaffed",ROUND((20*100*(K28-MIN($K$4:$K$28))/(MAX($K$4:$K$28)-MIN($K$4:$K$28))+60*100*(L28-MIN($L$4:$L$28))/(MAX($L$4:$L$28)-MIN($L$4:$L$28))+10*100*(N28-MIN($N$4:$N$28))/(MAX($N$4:$N$28)-MIN($N$4:$N$28))+10*100*(O28-MIN($O$4:$O$28))/(MAX($O$4:$O$28)-MIN($O$4:$O$28)))/100,1))</f>
        <v>2.3</v>
      </c>
      <c r="R28" s="7" t="n">
        <f aca="false">IF(J28=0,"n/a",RANK(Q28,$Q$4:$Q$28))</f>
        <v>25</v>
      </c>
      <c r="S28" s="7" t="n">
        <f aca="false">IF(J28=0,4,IF(R28&lt;=7,1,IF(R28&lt;=12,2,IF(R28&lt;=19,3,4))))</f>
        <v>4</v>
      </c>
    </row>
    <row r="29" customFormat="false" ht="15" hidden="false" customHeight="true" outlineLevel="0" collapsed="false">
      <c r="E29" s="11" t="s">
        <v>74</v>
      </c>
      <c r="F29" s="18" t="n">
        <f aca="false">SUM(F4:F28)</f>
        <v>18405</v>
      </c>
      <c r="G29" s="18" t="n">
        <f aca="false">SUM(G4:G28)</f>
        <v>5862</v>
      </c>
      <c r="H29" s="18" t="n">
        <f aca="false">SUM(H4:H28)</f>
        <v>7524</v>
      </c>
      <c r="I29" s="18" t="n">
        <f aca="false">SUM(I4:I28)</f>
        <v>2208</v>
      </c>
      <c r="J29" s="11" t="n">
        <f aca="false">SUM(J4:J28)</f>
        <v>30</v>
      </c>
      <c r="K29" s="18" t="n">
        <f aca="false">ROUND(F29/J29,0)</f>
        <v>614</v>
      </c>
      <c r="L29" s="28" t="n">
        <f aca="false">ROUND(G29/J29,1)</f>
        <v>195.4</v>
      </c>
      <c r="M29" s="29" t="n">
        <f aca="false">H29/F29</f>
        <v>0.40880195599022</v>
      </c>
      <c r="N29" s="11"/>
      <c r="O29" s="11"/>
      <c r="P29" s="11"/>
      <c r="Q29" s="11"/>
      <c r="R29" s="11"/>
    </row>
    <row r="31" customFormat="false" ht="51.75" hidden="false" customHeight="true" outlineLevel="0" collapsed="false">
      <c r="E31" s="9" t="s">
        <v>277</v>
      </c>
      <c r="F31" s="9"/>
      <c r="G31" s="9"/>
      <c r="H31" s="9"/>
      <c r="I31" s="9"/>
      <c r="J31" s="9"/>
      <c r="K31" s="9"/>
      <c r="L31" s="9"/>
      <c r="M31" s="9"/>
      <c r="N31" s="9"/>
      <c r="O31" s="9"/>
      <c r="P31" s="9"/>
      <c r="Q31" s="9"/>
      <c r="R31" s="9"/>
    </row>
    <row r="33" customFormat="false" ht="60" hidden="false" customHeight="true" outlineLevel="0" collapsed="false">
      <c r="E33" s="9" t="s">
        <v>278</v>
      </c>
      <c r="F33" s="9"/>
      <c r="G33" s="9"/>
      <c r="H33" s="9"/>
      <c r="I33" s="9"/>
      <c r="J33" s="9"/>
      <c r="K33" s="9"/>
      <c r="L33" s="9"/>
      <c r="M33" s="9"/>
      <c r="N33" s="9"/>
      <c r="O33" s="9"/>
      <c r="P33" s="9"/>
      <c r="Q33" s="9"/>
      <c r="R33" s="9"/>
    </row>
  </sheetData>
  <mergeCells count="3">
    <mergeCell ref="E1:R1"/>
    <mergeCell ref="E31:R31"/>
    <mergeCell ref="E33:R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9"/>
    <col collapsed="false" customWidth="true" hidden="false" outlineLevel="0" max="4" min="4" style="1" width="13"/>
    <col collapsed="false" customWidth="true" hidden="false" outlineLevel="0" max="5" min="5" style="1" width="12"/>
    <col collapsed="false" customWidth="true" hidden="false" outlineLevel="0" max="7" min="6" style="1" width="11"/>
  </cols>
  <sheetData>
    <row r="1" customFormat="false" ht="48" hidden="false" customHeight="true" outlineLevel="0" collapsed="false">
      <c r="A1" s="9" t="s">
        <v>279</v>
      </c>
      <c r="B1" s="9"/>
      <c r="C1" s="9"/>
      <c r="D1" s="9"/>
      <c r="E1" s="9"/>
      <c r="F1" s="9"/>
      <c r="G1" s="9"/>
    </row>
    <row r="2" customFormat="false" ht="34.5" hidden="false" customHeight="true" outlineLevel="0" collapsed="false">
      <c r="A2" s="20" t="s">
        <v>76</v>
      </c>
      <c r="B2" s="20" t="s">
        <v>280</v>
      </c>
      <c r="C2" s="20" t="s">
        <v>93</v>
      </c>
      <c r="D2" s="20" t="s">
        <v>281</v>
      </c>
      <c r="E2" s="20" t="s">
        <v>282</v>
      </c>
      <c r="F2" s="20" t="s">
        <v>283</v>
      </c>
      <c r="G2" s="20" t="s">
        <v>284</v>
      </c>
    </row>
    <row r="3" customFormat="false" ht="15" hidden="false" customHeight="true" outlineLevel="0" collapsed="false">
      <c r="A3" s="7" t="s">
        <v>94</v>
      </c>
      <c r="B3" s="7" t="s">
        <v>285</v>
      </c>
      <c r="C3" s="7" t="s">
        <v>95</v>
      </c>
      <c r="D3" s="8" t="n">
        <v>0</v>
      </c>
      <c r="E3" s="8" t="n">
        <v>8</v>
      </c>
      <c r="F3" s="8" t="n">
        <f aca="false">D3+E3</f>
        <v>8</v>
      </c>
      <c r="G3" s="23" t="n">
        <f aca="false">IF(F3=0,"n/a",D3/F3)</f>
        <v>0</v>
      </c>
    </row>
    <row r="4" customFormat="false" ht="15" hidden="false" customHeight="true" outlineLevel="0" collapsed="false">
      <c r="A4" s="7" t="s">
        <v>94</v>
      </c>
      <c r="B4" s="7" t="s">
        <v>286</v>
      </c>
      <c r="C4" s="7" t="s">
        <v>95</v>
      </c>
      <c r="D4" s="8" t="n">
        <v>0</v>
      </c>
      <c r="E4" s="8" t="n">
        <v>3</v>
      </c>
      <c r="F4" s="8" t="n">
        <f aca="false">D4+E4</f>
        <v>3</v>
      </c>
      <c r="G4" s="23" t="n">
        <f aca="false">IF(F4=0,"n/a",D4/F4)</f>
        <v>0</v>
      </c>
    </row>
    <row r="5" customFormat="false" ht="15" hidden="false" customHeight="true" outlineLevel="0" collapsed="false">
      <c r="A5" s="7" t="s">
        <v>94</v>
      </c>
      <c r="B5" s="7" t="s">
        <v>287</v>
      </c>
      <c r="C5" s="7" t="s">
        <v>95</v>
      </c>
      <c r="D5" s="8" t="n">
        <v>0</v>
      </c>
      <c r="E5" s="8" t="n">
        <v>1</v>
      </c>
      <c r="F5" s="8" t="n">
        <f aca="false">D5+E5</f>
        <v>1</v>
      </c>
      <c r="G5" s="23" t="n">
        <f aca="false">IF(F5=0,"n/a",D5/F5)</f>
        <v>0</v>
      </c>
    </row>
    <row r="6" customFormat="false" ht="15" hidden="false" customHeight="true" outlineLevel="0" collapsed="false">
      <c r="A6" s="7" t="s">
        <v>94</v>
      </c>
      <c r="B6" s="7" t="s">
        <v>288</v>
      </c>
      <c r="C6" s="7" t="s">
        <v>95</v>
      </c>
      <c r="D6" s="8" t="n">
        <v>0</v>
      </c>
      <c r="E6" s="8" t="n">
        <v>1</v>
      </c>
      <c r="F6" s="8" t="n">
        <f aca="false">D6+E6</f>
        <v>1</v>
      </c>
      <c r="G6" s="23" t="n">
        <f aca="false">IF(F6=0,"n/a",D6/F6)</f>
        <v>0</v>
      </c>
    </row>
    <row r="7" customFormat="false" ht="15" hidden="false" customHeight="true" outlineLevel="0" collapsed="false">
      <c r="A7" s="7" t="s">
        <v>94</v>
      </c>
      <c r="B7" s="7" t="s">
        <v>289</v>
      </c>
      <c r="C7" s="7" t="s">
        <v>95</v>
      </c>
      <c r="D7" s="8" t="n">
        <v>0</v>
      </c>
      <c r="E7" s="8" t="n">
        <v>1</v>
      </c>
      <c r="F7" s="8" t="n">
        <f aca="false">D7+E7</f>
        <v>1</v>
      </c>
      <c r="G7" s="23" t="n">
        <f aca="false">IF(F7=0,"n/a",D7/F7)</f>
        <v>0</v>
      </c>
    </row>
    <row r="8" customFormat="false" ht="15" hidden="false" customHeight="true" outlineLevel="0" collapsed="false">
      <c r="A8" s="7" t="s">
        <v>96</v>
      </c>
      <c r="B8" s="7" t="s">
        <v>290</v>
      </c>
      <c r="C8" s="7" t="s">
        <v>97</v>
      </c>
      <c r="D8" s="8" t="n">
        <v>4</v>
      </c>
      <c r="E8" s="8" t="n">
        <v>14</v>
      </c>
      <c r="F8" s="8" t="n">
        <f aca="false">D8+E8</f>
        <v>18</v>
      </c>
      <c r="G8" s="23" t="n">
        <f aca="false">IF(F8=0,"n/a",D8/F8)</f>
        <v>0.222222222222222</v>
      </c>
    </row>
    <row r="9" customFormat="false" ht="15" hidden="false" customHeight="true" outlineLevel="0" collapsed="false">
      <c r="A9" s="7" t="s">
        <v>96</v>
      </c>
      <c r="B9" s="7" t="s">
        <v>291</v>
      </c>
      <c r="C9" s="7" t="s">
        <v>97</v>
      </c>
      <c r="D9" s="8" t="n">
        <v>1</v>
      </c>
      <c r="E9" s="8" t="n">
        <v>11</v>
      </c>
      <c r="F9" s="8" t="n">
        <f aca="false">D9+E9</f>
        <v>12</v>
      </c>
      <c r="G9" s="23" t="n">
        <f aca="false">IF(F9=0,"n/a",D9/F9)</f>
        <v>0.0833333333333333</v>
      </c>
    </row>
    <row r="10" customFormat="false" ht="15" hidden="false" customHeight="true" outlineLevel="0" collapsed="false">
      <c r="A10" s="7" t="s">
        <v>96</v>
      </c>
      <c r="B10" s="7" t="s">
        <v>292</v>
      </c>
      <c r="C10" s="7" t="s">
        <v>97</v>
      </c>
      <c r="D10" s="8" t="n">
        <v>1</v>
      </c>
      <c r="E10" s="8" t="n">
        <v>10</v>
      </c>
      <c r="F10" s="8" t="n">
        <f aca="false">D10+E10</f>
        <v>11</v>
      </c>
      <c r="G10" s="23" t="n">
        <f aca="false">IF(F10=0,"n/a",D10/F10)</f>
        <v>0.0909090909090909</v>
      </c>
    </row>
    <row r="11" customFormat="false" ht="15" hidden="false" customHeight="true" outlineLevel="0" collapsed="false">
      <c r="A11" s="7" t="s">
        <v>96</v>
      </c>
      <c r="B11" s="7" t="s">
        <v>293</v>
      </c>
      <c r="C11" s="7" t="s">
        <v>97</v>
      </c>
      <c r="D11" s="8" t="n">
        <v>0</v>
      </c>
      <c r="E11" s="8" t="n">
        <v>10</v>
      </c>
      <c r="F11" s="8" t="n">
        <f aca="false">D11+E11</f>
        <v>10</v>
      </c>
      <c r="G11" s="23" t="n">
        <f aca="false">IF(F11=0,"n/a",D11/F11)</f>
        <v>0</v>
      </c>
    </row>
    <row r="12" customFormat="false" ht="15" hidden="false" customHeight="true" outlineLevel="0" collapsed="false">
      <c r="A12" s="7" t="s">
        <v>96</v>
      </c>
      <c r="B12" s="7" t="s">
        <v>294</v>
      </c>
      <c r="C12" s="7" t="s">
        <v>97</v>
      </c>
      <c r="D12" s="8" t="n">
        <v>3</v>
      </c>
      <c r="E12" s="8" t="n">
        <v>5</v>
      </c>
      <c r="F12" s="8" t="n">
        <f aca="false">D12+E12</f>
        <v>8</v>
      </c>
      <c r="G12" s="23" t="n">
        <f aca="false">IF(F12=0,"n/a",D12/F12)</f>
        <v>0.375</v>
      </c>
    </row>
    <row r="13" customFormat="false" ht="15" hidden="false" customHeight="true" outlineLevel="0" collapsed="false">
      <c r="A13" s="7" t="s">
        <v>96</v>
      </c>
      <c r="B13" s="7" t="s">
        <v>295</v>
      </c>
      <c r="C13" s="7" t="s">
        <v>97</v>
      </c>
      <c r="D13" s="8" t="n">
        <v>0</v>
      </c>
      <c r="E13" s="8" t="n">
        <v>4</v>
      </c>
      <c r="F13" s="8" t="n">
        <f aca="false">D13+E13</f>
        <v>4</v>
      </c>
      <c r="G13" s="23" t="n">
        <f aca="false">IF(F13=0,"n/a",D13/F13)</f>
        <v>0</v>
      </c>
    </row>
    <row r="14" customFormat="false" ht="15" hidden="false" customHeight="true" outlineLevel="0" collapsed="false">
      <c r="A14" s="7" t="s">
        <v>96</v>
      </c>
      <c r="B14" s="7" t="s">
        <v>296</v>
      </c>
      <c r="C14" s="7" t="s">
        <v>97</v>
      </c>
      <c r="D14" s="8" t="n">
        <v>0</v>
      </c>
      <c r="E14" s="8" t="n">
        <v>4</v>
      </c>
      <c r="F14" s="8" t="n">
        <f aca="false">D14+E14</f>
        <v>4</v>
      </c>
      <c r="G14" s="23" t="n">
        <f aca="false">IF(F14=0,"n/a",D14/F14)</f>
        <v>0</v>
      </c>
    </row>
    <row r="15" customFormat="false" ht="15" hidden="false" customHeight="true" outlineLevel="0" collapsed="false">
      <c r="A15" s="7" t="s">
        <v>96</v>
      </c>
      <c r="B15" s="7" t="s">
        <v>297</v>
      </c>
      <c r="C15" s="7" t="s">
        <v>97</v>
      </c>
      <c r="D15" s="8" t="n">
        <v>0</v>
      </c>
      <c r="E15" s="8" t="n">
        <v>4</v>
      </c>
      <c r="F15" s="8" t="n">
        <f aca="false">D15+E15</f>
        <v>4</v>
      </c>
      <c r="G15" s="23" t="n">
        <f aca="false">IF(F15=0,"n/a",D15/F15)</f>
        <v>0</v>
      </c>
    </row>
    <row r="16" customFormat="false" ht="15" hidden="false" customHeight="true" outlineLevel="0" collapsed="false">
      <c r="A16" s="7" t="s">
        <v>96</v>
      </c>
      <c r="B16" s="7" t="s">
        <v>298</v>
      </c>
      <c r="C16" s="7" t="s">
        <v>97</v>
      </c>
      <c r="D16" s="8" t="n">
        <v>0</v>
      </c>
      <c r="E16" s="8" t="n">
        <v>3</v>
      </c>
      <c r="F16" s="8" t="n">
        <f aca="false">D16+E16</f>
        <v>3</v>
      </c>
      <c r="G16" s="23" t="n">
        <f aca="false">IF(F16=0,"n/a",D16/F16)</f>
        <v>0</v>
      </c>
    </row>
    <row r="17" customFormat="false" ht="15" hidden="false" customHeight="true" outlineLevel="0" collapsed="false">
      <c r="A17" s="7" t="s">
        <v>96</v>
      </c>
      <c r="B17" s="7" t="s">
        <v>299</v>
      </c>
      <c r="C17" s="7" t="s">
        <v>97</v>
      </c>
      <c r="D17" s="8" t="n">
        <v>0</v>
      </c>
      <c r="E17" s="8" t="n">
        <v>2</v>
      </c>
      <c r="F17" s="8" t="n">
        <f aca="false">D17+E17</f>
        <v>2</v>
      </c>
      <c r="G17" s="23" t="n">
        <f aca="false">IF(F17=0,"n/a",D17/F17)</f>
        <v>0</v>
      </c>
    </row>
    <row r="18" customFormat="false" ht="15" hidden="false" customHeight="true" outlineLevel="0" collapsed="false">
      <c r="A18" s="7" t="s">
        <v>96</v>
      </c>
      <c r="B18" s="7" t="s">
        <v>300</v>
      </c>
      <c r="C18" s="7" t="s">
        <v>97</v>
      </c>
      <c r="D18" s="8" t="n">
        <v>1</v>
      </c>
      <c r="E18" s="8" t="n">
        <v>1</v>
      </c>
      <c r="F18" s="8" t="n">
        <f aca="false">D18+E18</f>
        <v>2</v>
      </c>
      <c r="G18" s="23" t="n">
        <f aca="false">IF(F18=0,"n/a",D18/F18)</f>
        <v>0.5</v>
      </c>
    </row>
    <row r="19" customFormat="false" ht="15" hidden="false" customHeight="true" outlineLevel="0" collapsed="false">
      <c r="A19" s="7" t="s">
        <v>96</v>
      </c>
      <c r="B19" s="7" t="s">
        <v>301</v>
      </c>
      <c r="C19" s="7" t="s">
        <v>97</v>
      </c>
      <c r="D19" s="8" t="n">
        <v>1</v>
      </c>
      <c r="E19" s="8" t="n">
        <v>1</v>
      </c>
      <c r="F19" s="8" t="n">
        <f aca="false">D19+E19</f>
        <v>2</v>
      </c>
      <c r="G19" s="23" t="n">
        <f aca="false">IF(F19=0,"n/a",D19/F19)</f>
        <v>0.5</v>
      </c>
    </row>
    <row r="20" customFormat="false" ht="15" hidden="false" customHeight="true" outlineLevel="0" collapsed="false">
      <c r="A20" s="7" t="s">
        <v>96</v>
      </c>
      <c r="B20" s="7" t="s">
        <v>302</v>
      </c>
      <c r="C20" s="7" t="s">
        <v>97</v>
      </c>
      <c r="D20" s="8" t="n">
        <v>0</v>
      </c>
      <c r="E20" s="8" t="n">
        <v>2</v>
      </c>
      <c r="F20" s="8" t="n">
        <f aca="false">D20+E20</f>
        <v>2</v>
      </c>
      <c r="G20" s="23" t="n">
        <f aca="false">IF(F20=0,"n/a",D20/F20)</f>
        <v>0</v>
      </c>
    </row>
    <row r="21" customFormat="false" ht="15" hidden="false" customHeight="true" outlineLevel="0" collapsed="false">
      <c r="A21" s="7" t="s">
        <v>96</v>
      </c>
      <c r="B21" s="7" t="s">
        <v>303</v>
      </c>
      <c r="C21" s="7" t="s">
        <v>97</v>
      </c>
      <c r="D21" s="8" t="n">
        <v>0</v>
      </c>
      <c r="E21" s="8" t="n">
        <v>2</v>
      </c>
      <c r="F21" s="8" t="n">
        <f aca="false">D21+E21</f>
        <v>2</v>
      </c>
      <c r="G21" s="23" t="n">
        <f aca="false">IF(F21=0,"n/a",D21/F21)</f>
        <v>0</v>
      </c>
    </row>
    <row r="22" customFormat="false" ht="15" hidden="false" customHeight="true" outlineLevel="0" collapsed="false">
      <c r="A22" s="7" t="s">
        <v>96</v>
      </c>
      <c r="B22" s="7" t="s">
        <v>304</v>
      </c>
      <c r="C22" s="7" t="s">
        <v>97</v>
      </c>
      <c r="D22" s="8" t="n">
        <v>0</v>
      </c>
      <c r="E22" s="8" t="n">
        <v>2</v>
      </c>
      <c r="F22" s="8" t="n">
        <f aca="false">D22+E22</f>
        <v>2</v>
      </c>
      <c r="G22" s="23" t="n">
        <f aca="false">IF(F22=0,"n/a",D22/F22)</f>
        <v>0</v>
      </c>
    </row>
    <row r="23" customFormat="false" ht="15" hidden="false" customHeight="true" outlineLevel="0" collapsed="false">
      <c r="A23" s="7" t="s">
        <v>96</v>
      </c>
      <c r="B23" s="7" t="s">
        <v>305</v>
      </c>
      <c r="C23" s="7" t="s">
        <v>97</v>
      </c>
      <c r="D23" s="8" t="n">
        <v>0</v>
      </c>
      <c r="E23" s="8" t="n">
        <v>1</v>
      </c>
      <c r="F23" s="8" t="n">
        <f aca="false">D23+E23</f>
        <v>1</v>
      </c>
      <c r="G23" s="23" t="n">
        <f aca="false">IF(F23=0,"n/a",D23/F23)</f>
        <v>0</v>
      </c>
    </row>
    <row r="24" customFormat="false" ht="15" hidden="false" customHeight="true" outlineLevel="0" collapsed="false">
      <c r="A24" s="7" t="s">
        <v>96</v>
      </c>
      <c r="B24" s="7" t="s">
        <v>306</v>
      </c>
      <c r="C24" s="7" t="s">
        <v>97</v>
      </c>
      <c r="D24" s="8" t="n">
        <v>0</v>
      </c>
      <c r="E24" s="8" t="n">
        <v>1</v>
      </c>
      <c r="F24" s="8" t="n">
        <f aca="false">D24+E24</f>
        <v>1</v>
      </c>
      <c r="G24" s="23" t="n">
        <f aca="false">IF(F24=0,"n/a",D24/F24)</f>
        <v>0</v>
      </c>
    </row>
    <row r="25" customFormat="false" ht="15" hidden="false" customHeight="true" outlineLevel="0" collapsed="false">
      <c r="A25" s="7" t="s">
        <v>96</v>
      </c>
      <c r="B25" s="7" t="s">
        <v>307</v>
      </c>
      <c r="C25" s="7" t="s">
        <v>97</v>
      </c>
      <c r="D25" s="8" t="n">
        <v>0</v>
      </c>
      <c r="E25" s="8" t="n">
        <v>1</v>
      </c>
      <c r="F25" s="8" t="n">
        <f aca="false">D25+E25</f>
        <v>1</v>
      </c>
      <c r="G25" s="23" t="n">
        <f aca="false">IF(F25=0,"n/a",D25/F25)</f>
        <v>0</v>
      </c>
    </row>
    <row r="26" customFormat="false" ht="15" hidden="false" customHeight="true" outlineLevel="0" collapsed="false">
      <c r="A26" s="7" t="s">
        <v>96</v>
      </c>
      <c r="B26" s="7" t="s">
        <v>308</v>
      </c>
      <c r="C26" s="7" t="s">
        <v>97</v>
      </c>
      <c r="D26" s="8" t="n">
        <v>1</v>
      </c>
      <c r="E26" s="8" t="n">
        <v>0</v>
      </c>
      <c r="F26" s="8" t="n">
        <f aca="false">D26+E26</f>
        <v>1</v>
      </c>
      <c r="G26" s="23" t="n">
        <f aca="false">IF(F26=0,"n/a",D26/F26)</f>
        <v>1</v>
      </c>
    </row>
    <row r="27" customFormat="false" ht="15" hidden="false" customHeight="true" outlineLevel="0" collapsed="false">
      <c r="A27" s="7" t="s">
        <v>96</v>
      </c>
      <c r="B27" s="7" t="s">
        <v>309</v>
      </c>
      <c r="C27" s="7" t="s">
        <v>97</v>
      </c>
      <c r="D27" s="8" t="n">
        <v>1</v>
      </c>
      <c r="E27" s="8" t="n">
        <v>0</v>
      </c>
      <c r="F27" s="8" t="n">
        <f aca="false">D27+E27</f>
        <v>1</v>
      </c>
      <c r="G27" s="23" t="n">
        <f aca="false">IF(F27=0,"n/a",D27/F27)</f>
        <v>1</v>
      </c>
    </row>
    <row r="28" customFormat="false" ht="15" hidden="false" customHeight="true" outlineLevel="0" collapsed="false">
      <c r="A28" s="7" t="s">
        <v>96</v>
      </c>
      <c r="B28" s="7" t="s">
        <v>310</v>
      </c>
      <c r="C28" s="7" t="s">
        <v>97</v>
      </c>
      <c r="D28" s="8" t="n">
        <v>1</v>
      </c>
      <c r="E28" s="8" t="n">
        <v>0</v>
      </c>
      <c r="F28" s="8" t="n">
        <f aca="false">D28+E28</f>
        <v>1</v>
      </c>
      <c r="G28" s="23" t="n">
        <f aca="false">IF(F28=0,"n/a",D28/F28)</f>
        <v>1</v>
      </c>
    </row>
    <row r="29" customFormat="false" ht="15" hidden="false" customHeight="true" outlineLevel="0" collapsed="false">
      <c r="A29" s="7" t="s">
        <v>96</v>
      </c>
      <c r="B29" s="7" t="s">
        <v>311</v>
      </c>
      <c r="C29" s="7" t="s">
        <v>97</v>
      </c>
      <c r="D29" s="8" t="n">
        <v>0</v>
      </c>
      <c r="E29" s="8" t="n">
        <v>1</v>
      </c>
      <c r="F29" s="8" t="n">
        <f aca="false">D29+E29</f>
        <v>1</v>
      </c>
      <c r="G29" s="23" t="n">
        <f aca="false">IF(F29=0,"n/a",D29/F29)</f>
        <v>0</v>
      </c>
    </row>
    <row r="30" customFormat="false" ht="15" hidden="false" customHeight="true" outlineLevel="0" collapsed="false">
      <c r="A30" s="7" t="s">
        <v>96</v>
      </c>
      <c r="B30" s="7" t="s">
        <v>312</v>
      </c>
      <c r="C30" s="7" t="s">
        <v>97</v>
      </c>
      <c r="D30" s="8" t="n">
        <v>0</v>
      </c>
      <c r="E30" s="8" t="n">
        <v>1</v>
      </c>
      <c r="F30" s="8" t="n">
        <f aca="false">D30+E30</f>
        <v>1</v>
      </c>
      <c r="G30" s="23" t="n">
        <f aca="false">IF(F30=0,"n/a",D30/F30)</f>
        <v>0</v>
      </c>
    </row>
    <row r="31" customFormat="false" ht="15" hidden="false" customHeight="true" outlineLevel="0" collapsed="false">
      <c r="A31" s="7" t="s">
        <v>96</v>
      </c>
      <c r="B31" s="7" t="s">
        <v>313</v>
      </c>
      <c r="C31" s="7" t="s">
        <v>97</v>
      </c>
      <c r="D31" s="8" t="n">
        <v>0</v>
      </c>
      <c r="E31" s="8" t="n">
        <v>1</v>
      </c>
      <c r="F31" s="8" t="n">
        <f aca="false">D31+E31</f>
        <v>1</v>
      </c>
      <c r="G31" s="23" t="n">
        <f aca="false">IF(F31=0,"n/a",D31/F31)</f>
        <v>0</v>
      </c>
    </row>
    <row r="32" customFormat="false" ht="15" hidden="false" customHeight="true" outlineLevel="0" collapsed="false">
      <c r="A32" s="7" t="s">
        <v>98</v>
      </c>
      <c r="B32" s="7" t="s">
        <v>314</v>
      </c>
      <c r="C32" s="7" t="s">
        <v>99</v>
      </c>
      <c r="D32" s="8" t="n">
        <v>3</v>
      </c>
      <c r="E32" s="8" t="n">
        <v>16</v>
      </c>
      <c r="F32" s="8" t="n">
        <f aca="false">D32+E32</f>
        <v>19</v>
      </c>
      <c r="G32" s="23" t="n">
        <f aca="false">IF(F32=0,"n/a",D32/F32)</f>
        <v>0.157894736842105</v>
      </c>
    </row>
    <row r="33" customFormat="false" ht="15" hidden="false" customHeight="true" outlineLevel="0" collapsed="false">
      <c r="A33" s="7" t="s">
        <v>98</v>
      </c>
      <c r="B33" s="7" t="s">
        <v>315</v>
      </c>
      <c r="C33" s="7" t="s">
        <v>99</v>
      </c>
      <c r="D33" s="8" t="n">
        <v>3</v>
      </c>
      <c r="E33" s="8" t="n">
        <v>9</v>
      </c>
      <c r="F33" s="8" t="n">
        <f aca="false">D33+E33</f>
        <v>12</v>
      </c>
      <c r="G33" s="23" t="n">
        <f aca="false">IF(F33=0,"n/a",D33/F33)</f>
        <v>0.25</v>
      </c>
    </row>
    <row r="34" customFormat="false" ht="15" hidden="false" customHeight="true" outlineLevel="0" collapsed="false">
      <c r="A34" s="7" t="s">
        <v>98</v>
      </c>
      <c r="B34" s="7" t="s">
        <v>316</v>
      </c>
      <c r="C34" s="7" t="s">
        <v>99</v>
      </c>
      <c r="D34" s="8" t="n">
        <v>2</v>
      </c>
      <c r="E34" s="8" t="n">
        <v>7</v>
      </c>
      <c r="F34" s="8" t="n">
        <f aca="false">D34+E34</f>
        <v>9</v>
      </c>
      <c r="G34" s="23" t="n">
        <f aca="false">IF(F34=0,"n/a",D34/F34)</f>
        <v>0.222222222222222</v>
      </c>
    </row>
    <row r="35" customFormat="false" ht="15" hidden="false" customHeight="true" outlineLevel="0" collapsed="false">
      <c r="A35" s="7" t="s">
        <v>98</v>
      </c>
      <c r="B35" s="7" t="s">
        <v>317</v>
      </c>
      <c r="C35" s="7" t="s">
        <v>99</v>
      </c>
      <c r="D35" s="8" t="n">
        <v>0</v>
      </c>
      <c r="E35" s="8" t="n">
        <v>7</v>
      </c>
      <c r="F35" s="8" t="n">
        <f aca="false">D35+E35</f>
        <v>7</v>
      </c>
      <c r="G35" s="23" t="n">
        <f aca="false">IF(F35=0,"n/a",D35/F35)</f>
        <v>0</v>
      </c>
    </row>
    <row r="36" customFormat="false" ht="15" hidden="false" customHeight="true" outlineLevel="0" collapsed="false">
      <c r="A36" s="7" t="s">
        <v>98</v>
      </c>
      <c r="B36" s="7" t="s">
        <v>318</v>
      </c>
      <c r="C36" s="7" t="s">
        <v>99</v>
      </c>
      <c r="D36" s="8" t="n">
        <v>2</v>
      </c>
      <c r="E36" s="8" t="n">
        <v>4</v>
      </c>
      <c r="F36" s="8" t="n">
        <f aca="false">D36+E36</f>
        <v>6</v>
      </c>
      <c r="G36" s="23" t="n">
        <f aca="false">IF(F36=0,"n/a",D36/F36)</f>
        <v>0.333333333333333</v>
      </c>
    </row>
    <row r="37" customFormat="false" ht="15" hidden="false" customHeight="true" outlineLevel="0" collapsed="false">
      <c r="A37" s="7" t="s">
        <v>98</v>
      </c>
      <c r="B37" s="7" t="s">
        <v>319</v>
      </c>
      <c r="C37" s="7" t="s">
        <v>99</v>
      </c>
      <c r="D37" s="8" t="n">
        <v>4</v>
      </c>
      <c r="E37" s="8" t="n">
        <v>0</v>
      </c>
      <c r="F37" s="8" t="n">
        <f aca="false">D37+E37</f>
        <v>4</v>
      </c>
      <c r="G37" s="23" t="n">
        <f aca="false">IF(F37=0,"n/a",D37/F37)</f>
        <v>1</v>
      </c>
    </row>
    <row r="38" customFormat="false" ht="15" hidden="false" customHeight="true" outlineLevel="0" collapsed="false">
      <c r="A38" s="7" t="s">
        <v>98</v>
      </c>
      <c r="B38" s="7" t="s">
        <v>320</v>
      </c>
      <c r="C38" s="7" t="s">
        <v>99</v>
      </c>
      <c r="D38" s="8" t="n">
        <v>1</v>
      </c>
      <c r="E38" s="8" t="n">
        <v>2</v>
      </c>
      <c r="F38" s="8" t="n">
        <f aca="false">D38+E38</f>
        <v>3</v>
      </c>
      <c r="G38" s="23" t="n">
        <f aca="false">IF(F38=0,"n/a",D38/F38)</f>
        <v>0.333333333333333</v>
      </c>
    </row>
    <row r="39" customFormat="false" ht="15" hidden="false" customHeight="true" outlineLevel="0" collapsed="false">
      <c r="A39" s="7" t="s">
        <v>98</v>
      </c>
      <c r="B39" s="7" t="s">
        <v>321</v>
      </c>
      <c r="C39" s="7" t="s">
        <v>99</v>
      </c>
      <c r="D39" s="8" t="n">
        <v>1</v>
      </c>
      <c r="E39" s="8" t="n">
        <v>2</v>
      </c>
      <c r="F39" s="8" t="n">
        <f aca="false">D39+E39</f>
        <v>3</v>
      </c>
      <c r="G39" s="23" t="n">
        <f aca="false">IF(F39=0,"n/a",D39/F39)</f>
        <v>0.333333333333333</v>
      </c>
    </row>
    <row r="40" customFormat="false" ht="15" hidden="false" customHeight="true" outlineLevel="0" collapsed="false">
      <c r="A40" s="7" t="s">
        <v>98</v>
      </c>
      <c r="B40" s="7" t="s">
        <v>322</v>
      </c>
      <c r="C40" s="7" t="s">
        <v>99</v>
      </c>
      <c r="D40" s="8" t="n">
        <v>0</v>
      </c>
      <c r="E40" s="8" t="n">
        <v>3</v>
      </c>
      <c r="F40" s="8" t="n">
        <f aca="false">D40+E40</f>
        <v>3</v>
      </c>
      <c r="G40" s="23" t="n">
        <f aca="false">IF(F40=0,"n/a",D40/F40)</f>
        <v>0</v>
      </c>
    </row>
    <row r="41" customFormat="false" ht="15" hidden="false" customHeight="true" outlineLevel="0" collapsed="false">
      <c r="A41" s="7" t="s">
        <v>98</v>
      </c>
      <c r="B41" s="7" t="s">
        <v>323</v>
      </c>
      <c r="C41" s="7" t="s">
        <v>99</v>
      </c>
      <c r="D41" s="8" t="n">
        <v>1</v>
      </c>
      <c r="E41" s="8" t="n">
        <v>2</v>
      </c>
      <c r="F41" s="8" t="n">
        <f aca="false">D41+E41</f>
        <v>3</v>
      </c>
      <c r="G41" s="23" t="n">
        <f aca="false">IF(F41=0,"n/a",D41/F41)</f>
        <v>0.333333333333333</v>
      </c>
    </row>
    <row r="42" customFormat="false" ht="15" hidden="false" customHeight="true" outlineLevel="0" collapsed="false">
      <c r="A42" s="7" t="s">
        <v>98</v>
      </c>
      <c r="B42" s="7" t="s">
        <v>324</v>
      </c>
      <c r="C42" s="7" t="s">
        <v>99</v>
      </c>
      <c r="D42" s="8" t="n">
        <v>0</v>
      </c>
      <c r="E42" s="8" t="n">
        <v>2</v>
      </c>
      <c r="F42" s="8" t="n">
        <f aca="false">D42+E42</f>
        <v>2</v>
      </c>
      <c r="G42" s="23" t="n">
        <f aca="false">IF(F42=0,"n/a",D42/F42)</f>
        <v>0</v>
      </c>
    </row>
    <row r="43" customFormat="false" ht="15" hidden="false" customHeight="true" outlineLevel="0" collapsed="false">
      <c r="A43" s="7" t="s">
        <v>98</v>
      </c>
      <c r="B43" s="7" t="s">
        <v>325</v>
      </c>
      <c r="C43" s="7" t="s">
        <v>99</v>
      </c>
      <c r="D43" s="8" t="n">
        <v>0</v>
      </c>
      <c r="E43" s="8" t="n">
        <v>2</v>
      </c>
      <c r="F43" s="8" t="n">
        <f aca="false">D43+E43</f>
        <v>2</v>
      </c>
      <c r="G43" s="23" t="n">
        <f aca="false">IF(F43=0,"n/a",D43/F43)</f>
        <v>0</v>
      </c>
    </row>
    <row r="44" customFormat="false" ht="15" hidden="false" customHeight="true" outlineLevel="0" collapsed="false">
      <c r="A44" s="7" t="s">
        <v>98</v>
      </c>
      <c r="B44" s="7" t="s">
        <v>326</v>
      </c>
      <c r="C44" s="7" t="s">
        <v>99</v>
      </c>
      <c r="D44" s="8" t="n">
        <v>0</v>
      </c>
      <c r="E44" s="8" t="n">
        <v>1</v>
      </c>
      <c r="F44" s="8" t="n">
        <f aca="false">D44+E44</f>
        <v>1</v>
      </c>
      <c r="G44" s="23" t="n">
        <f aca="false">IF(F44=0,"n/a",D44/F44)</f>
        <v>0</v>
      </c>
    </row>
    <row r="45" customFormat="false" ht="15" hidden="false" customHeight="true" outlineLevel="0" collapsed="false">
      <c r="A45" s="7" t="s">
        <v>98</v>
      </c>
      <c r="B45" s="7" t="s">
        <v>327</v>
      </c>
      <c r="C45" s="7" t="s">
        <v>99</v>
      </c>
      <c r="D45" s="8" t="n">
        <v>0</v>
      </c>
      <c r="E45" s="8" t="n">
        <v>1</v>
      </c>
      <c r="F45" s="8" t="n">
        <f aca="false">D45+E45</f>
        <v>1</v>
      </c>
      <c r="G45" s="23" t="n">
        <f aca="false">IF(F45=0,"n/a",D45/F45)</f>
        <v>0</v>
      </c>
    </row>
    <row r="46" customFormat="false" ht="15" hidden="false" customHeight="true" outlineLevel="0" collapsed="false">
      <c r="A46" s="7" t="s">
        <v>98</v>
      </c>
      <c r="B46" s="7" t="s">
        <v>328</v>
      </c>
      <c r="C46" s="7" t="s">
        <v>99</v>
      </c>
      <c r="D46" s="8" t="n">
        <v>0</v>
      </c>
      <c r="E46" s="8" t="n">
        <v>1</v>
      </c>
      <c r="F46" s="8" t="n">
        <f aca="false">D46+E46</f>
        <v>1</v>
      </c>
      <c r="G46" s="23" t="n">
        <f aca="false">IF(F46=0,"n/a",D46/F46)</f>
        <v>0</v>
      </c>
    </row>
    <row r="47" customFormat="false" ht="15" hidden="false" customHeight="true" outlineLevel="0" collapsed="false">
      <c r="A47" s="7" t="s">
        <v>98</v>
      </c>
      <c r="B47" s="7" t="s">
        <v>329</v>
      </c>
      <c r="C47" s="7" t="s">
        <v>99</v>
      </c>
      <c r="D47" s="8" t="n">
        <v>1</v>
      </c>
      <c r="E47" s="8" t="n">
        <v>0</v>
      </c>
      <c r="F47" s="8" t="n">
        <f aca="false">D47+E47</f>
        <v>1</v>
      </c>
      <c r="G47" s="23" t="n">
        <f aca="false">IF(F47=0,"n/a",D47/F47)</f>
        <v>1</v>
      </c>
    </row>
    <row r="48" customFormat="false" ht="15" hidden="false" customHeight="true" outlineLevel="0" collapsed="false">
      <c r="A48" s="7" t="s">
        <v>98</v>
      </c>
      <c r="B48" s="7" t="s">
        <v>330</v>
      </c>
      <c r="C48" s="7" t="s">
        <v>99</v>
      </c>
      <c r="D48" s="8" t="n">
        <v>1</v>
      </c>
      <c r="E48" s="8" t="n">
        <v>0</v>
      </c>
      <c r="F48" s="8" t="n">
        <f aca="false">D48+E48</f>
        <v>1</v>
      </c>
      <c r="G48" s="23" t="n">
        <f aca="false">IF(F48=0,"n/a",D48/F48)</f>
        <v>1</v>
      </c>
    </row>
    <row r="49" customFormat="false" ht="15" hidden="false" customHeight="true" outlineLevel="0" collapsed="false">
      <c r="A49" s="7" t="s">
        <v>98</v>
      </c>
      <c r="B49" s="7" t="s">
        <v>331</v>
      </c>
      <c r="C49" s="7" t="s">
        <v>99</v>
      </c>
      <c r="D49" s="8" t="n">
        <v>1</v>
      </c>
      <c r="E49" s="8" t="n">
        <v>0</v>
      </c>
      <c r="F49" s="8" t="n">
        <f aca="false">D49+E49</f>
        <v>1</v>
      </c>
      <c r="G49" s="23" t="n">
        <f aca="false">IF(F49=0,"n/a",D49/F49)</f>
        <v>1</v>
      </c>
    </row>
    <row r="50" customFormat="false" ht="15" hidden="false" customHeight="true" outlineLevel="0" collapsed="false">
      <c r="A50" s="7" t="s">
        <v>98</v>
      </c>
      <c r="B50" s="7" t="s">
        <v>332</v>
      </c>
      <c r="C50" s="7" t="s">
        <v>99</v>
      </c>
      <c r="D50" s="8" t="n">
        <v>0</v>
      </c>
      <c r="E50" s="8" t="n">
        <v>1</v>
      </c>
      <c r="F50" s="8" t="n">
        <f aca="false">D50+E50</f>
        <v>1</v>
      </c>
      <c r="G50" s="23" t="n">
        <f aca="false">IF(F50=0,"n/a",D50/F50)</f>
        <v>0</v>
      </c>
    </row>
    <row r="51" customFormat="false" ht="15" hidden="false" customHeight="true" outlineLevel="0" collapsed="false">
      <c r="A51" s="7" t="s">
        <v>100</v>
      </c>
      <c r="B51" s="7" t="s">
        <v>333</v>
      </c>
      <c r="C51" s="7" t="s">
        <v>101</v>
      </c>
      <c r="D51" s="8" t="n">
        <v>0</v>
      </c>
      <c r="E51" s="8" t="n">
        <v>15</v>
      </c>
      <c r="F51" s="8" t="n">
        <f aca="false">D51+E51</f>
        <v>15</v>
      </c>
      <c r="G51" s="23" t="n">
        <f aca="false">IF(F51=0,"n/a",D51/F51)</f>
        <v>0</v>
      </c>
    </row>
    <row r="52" customFormat="false" ht="15" hidden="false" customHeight="true" outlineLevel="0" collapsed="false">
      <c r="A52" s="7" t="s">
        <v>100</v>
      </c>
      <c r="B52" s="7" t="s">
        <v>334</v>
      </c>
      <c r="C52" s="7" t="s">
        <v>101</v>
      </c>
      <c r="D52" s="8" t="n">
        <v>1</v>
      </c>
      <c r="E52" s="8" t="n">
        <v>5</v>
      </c>
      <c r="F52" s="8" t="n">
        <f aca="false">D52+E52</f>
        <v>6</v>
      </c>
      <c r="G52" s="23" t="n">
        <f aca="false">IF(F52=0,"n/a",D52/F52)</f>
        <v>0.166666666666667</v>
      </c>
    </row>
    <row r="53" customFormat="false" ht="15" hidden="false" customHeight="true" outlineLevel="0" collapsed="false">
      <c r="A53" s="7" t="s">
        <v>100</v>
      </c>
      <c r="B53" s="7" t="s">
        <v>335</v>
      </c>
      <c r="C53" s="7" t="s">
        <v>101</v>
      </c>
      <c r="D53" s="8" t="n">
        <v>6</v>
      </c>
      <c r="E53" s="8" t="n">
        <v>0</v>
      </c>
      <c r="F53" s="8" t="n">
        <f aca="false">D53+E53</f>
        <v>6</v>
      </c>
      <c r="G53" s="23" t="n">
        <f aca="false">IF(F53=0,"n/a",D53/F53)</f>
        <v>1</v>
      </c>
    </row>
    <row r="54" customFormat="false" ht="15" hidden="false" customHeight="true" outlineLevel="0" collapsed="false">
      <c r="A54" s="7" t="s">
        <v>100</v>
      </c>
      <c r="B54" s="7" t="s">
        <v>336</v>
      </c>
      <c r="C54" s="7" t="s">
        <v>101</v>
      </c>
      <c r="D54" s="8" t="n">
        <v>1</v>
      </c>
      <c r="E54" s="8" t="n">
        <v>4</v>
      </c>
      <c r="F54" s="8" t="n">
        <f aca="false">D54+E54</f>
        <v>5</v>
      </c>
      <c r="G54" s="23" t="n">
        <f aca="false">IF(F54=0,"n/a",D54/F54)</f>
        <v>0.2</v>
      </c>
    </row>
    <row r="55" customFormat="false" ht="15" hidden="false" customHeight="true" outlineLevel="0" collapsed="false">
      <c r="A55" s="7" t="s">
        <v>100</v>
      </c>
      <c r="B55" s="7" t="s">
        <v>337</v>
      </c>
      <c r="C55" s="7" t="s">
        <v>101</v>
      </c>
      <c r="D55" s="8" t="n">
        <v>1</v>
      </c>
      <c r="E55" s="8" t="n">
        <v>2</v>
      </c>
      <c r="F55" s="8" t="n">
        <f aca="false">D55+E55</f>
        <v>3</v>
      </c>
      <c r="G55" s="23" t="n">
        <f aca="false">IF(F55=0,"n/a",D55/F55)</f>
        <v>0.333333333333333</v>
      </c>
    </row>
    <row r="56" customFormat="false" ht="15" hidden="false" customHeight="true" outlineLevel="0" collapsed="false">
      <c r="A56" s="7" t="s">
        <v>100</v>
      </c>
      <c r="B56" s="7" t="s">
        <v>338</v>
      </c>
      <c r="C56" s="7" t="s">
        <v>101</v>
      </c>
      <c r="D56" s="8" t="n">
        <v>0</v>
      </c>
      <c r="E56" s="8" t="n">
        <v>3</v>
      </c>
      <c r="F56" s="8" t="n">
        <f aca="false">D56+E56</f>
        <v>3</v>
      </c>
      <c r="G56" s="23" t="n">
        <f aca="false">IF(F56=0,"n/a",D56/F56)</f>
        <v>0</v>
      </c>
    </row>
    <row r="57" customFormat="false" ht="15" hidden="false" customHeight="true" outlineLevel="0" collapsed="false">
      <c r="A57" s="7" t="s">
        <v>100</v>
      </c>
      <c r="B57" s="7" t="s">
        <v>339</v>
      </c>
      <c r="C57" s="7" t="s">
        <v>101</v>
      </c>
      <c r="D57" s="8" t="n">
        <v>0</v>
      </c>
      <c r="E57" s="8" t="n">
        <v>3</v>
      </c>
      <c r="F57" s="8" t="n">
        <f aca="false">D57+E57</f>
        <v>3</v>
      </c>
      <c r="G57" s="23" t="n">
        <f aca="false">IF(F57=0,"n/a",D57/F57)</f>
        <v>0</v>
      </c>
    </row>
    <row r="58" customFormat="false" ht="15" hidden="false" customHeight="true" outlineLevel="0" collapsed="false">
      <c r="A58" s="7" t="s">
        <v>100</v>
      </c>
      <c r="B58" s="7" t="s">
        <v>340</v>
      </c>
      <c r="C58" s="7" t="s">
        <v>101</v>
      </c>
      <c r="D58" s="8" t="n">
        <v>1</v>
      </c>
      <c r="E58" s="8" t="n">
        <v>2</v>
      </c>
      <c r="F58" s="8" t="n">
        <f aca="false">D58+E58</f>
        <v>3</v>
      </c>
      <c r="G58" s="23" t="n">
        <f aca="false">IF(F58=0,"n/a",D58/F58)</f>
        <v>0.333333333333333</v>
      </c>
    </row>
    <row r="59" customFormat="false" ht="15" hidden="false" customHeight="true" outlineLevel="0" collapsed="false">
      <c r="A59" s="7" t="s">
        <v>100</v>
      </c>
      <c r="B59" s="7" t="s">
        <v>341</v>
      </c>
      <c r="C59" s="7" t="s">
        <v>101</v>
      </c>
      <c r="D59" s="8" t="n">
        <v>0</v>
      </c>
      <c r="E59" s="8" t="n">
        <v>2</v>
      </c>
      <c r="F59" s="8" t="n">
        <f aca="false">D59+E59</f>
        <v>2</v>
      </c>
      <c r="G59" s="23" t="n">
        <f aca="false">IF(F59=0,"n/a",D59/F59)</f>
        <v>0</v>
      </c>
    </row>
    <row r="60" customFormat="false" ht="15" hidden="false" customHeight="true" outlineLevel="0" collapsed="false">
      <c r="A60" s="7" t="s">
        <v>100</v>
      </c>
      <c r="B60" s="7" t="s">
        <v>342</v>
      </c>
      <c r="C60" s="7" t="s">
        <v>101</v>
      </c>
      <c r="D60" s="8" t="n">
        <v>0</v>
      </c>
      <c r="E60" s="8" t="n">
        <v>1</v>
      </c>
      <c r="F60" s="8" t="n">
        <f aca="false">D60+E60</f>
        <v>1</v>
      </c>
      <c r="G60" s="23" t="n">
        <f aca="false">IF(F60=0,"n/a",D60/F60)</f>
        <v>0</v>
      </c>
    </row>
    <row r="61" customFormat="false" ht="15" hidden="false" customHeight="true" outlineLevel="0" collapsed="false">
      <c r="A61" s="7" t="s">
        <v>100</v>
      </c>
      <c r="B61" s="7" t="s">
        <v>343</v>
      </c>
      <c r="C61" s="7" t="s">
        <v>101</v>
      </c>
      <c r="D61" s="8" t="n">
        <v>0</v>
      </c>
      <c r="E61" s="8" t="n">
        <v>1</v>
      </c>
      <c r="F61" s="8" t="n">
        <f aca="false">D61+E61</f>
        <v>1</v>
      </c>
      <c r="G61" s="23" t="n">
        <f aca="false">IF(F61=0,"n/a",D61/F61)</f>
        <v>0</v>
      </c>
    </row>
    <row r="62" customFormat="false" ht="15" hidden="false" customHeight="true" outlineLevel="0" collapsed="false">
      <c r="A62" s="7" t="s">
        <v>100</v>
      </c>
      <c r="B62" s="7" t="s">
        <v>344</v>
      </c>
      <c r="C62" s="7" t="s">
        <v>101</v>
      </c>
      <c r="D62" s="8" t="n">
        <v>0</v>
      </c>
      <c r="E62" s="8" t="n">
        <v>1</v>
      </c>
      <c r="F62" s="8" t="n">
        <f aca="false">D62+E62</f>
        <v>1</v>
      </c>
      <c r="G62" s="23" t="n">
        <f aca="false">IF(F62=0,"n/a",D62/F62)</f>
        <v>0</v>
      </c>
    </row>
    <row r="63" customFormat="false" ht="15" hidden="false" customHeight="true" outlineLevel="0" collapsed="false">
      <c r="A63" s="7" t="s">
        <v>100</v>
      </c>
      <c r="B63" s="7" t="s">
        <v>345</v>
      </c>
      <c r="C63" s="7" t="s">
        <v>101</v>
      </c>
      <c r="D63" s="8" t="n">
        <v>1</v>
      </c>
      <c r="E63" s="8" t="n">
        <v>0</v>
      </c>
      <c r="F63" s="8" t="n">
        <f aca="false">D63+E63</f>
        <v>1</v>
      </c>
      <c r="G63" s="23" t="n">
        <f aca="false">IF(F63=0,"n/a",D63/F63)</f>
        <v>1</v>
      </c>
    </row>
    <row r="64" customFormat="false" ht="15" hidden="false" customHeight="true" outlineLevel="0" collapsed="false">
      <c r="A64" s="7" t="s">
        <v>100</v>
      </c>
      <c r="B64" s="7" t="s">
        <v>346</v>
      </c>
      <c r="C64" s="7" t="s">
        <v>101</v>
      </c>
      <c r="D64" s="8" t="n">
        <v>0</v>
      </c>
      <c r="E64" s="8" t="n">
        <v>1</v>
      </c>
      <c r="F64" s="8" t="n">
        <f aca="false">D64+E64</f>
        <v>1</v>
      </c>
      <c r="G64" s="23" t="n">
        <f aca="false">IF(F64=0,"n/a",D64/F64)</f>
        <v>0</v>
      </c>
    </row>
    <row r="65" customFormat="false" ht="15" hidden="false" customHeight="true" outlineLevel="0" collapsed="false">
      <c r="A65" s="7" t="s">
        <v>102</v>
      </c>
      <c r="B65" s="7" t="s">
        <v>347</v>
      </c>
      <c r="C65" s="7" t="s">
        <v>103</v>
      </c>
      <c r="D65" s="8" t="n">
        <v>18</v>
      </c>
      <c r="E65" s="8" t="n">
        <v>8</v>
      </c>
      <c r="F65" s="8" t="n">
        <f aca="false">D65+E65</f>
        <v>26</v>
      </c>
      <c r="G65" s="23" t="n">
        <f aca="false">IF(F65=0,"n/a",D65/F65)</f>
        <v>0.692307692307692</v>
      </c>
    </row>
    <row r="66" customFormat="false" ht="15" hidden="false" customHeight="true" outlineLevel="0" collapsed="false">
      <c r="A66" s="7" t="s">
        <v>102</v>
      </c>
      <c r="B66" s="7" t="s">
        <v>348</v>
      </c>
      <c r="C66" s="7" t="s">
        <v>103</v>
      </c>
      <c r="D66" s="8" t="n">
        <v>11</v>
      </c>
      <c r="E66" s="8" t="n">
        <v>7</v>
      </c>
      <c r="F66" s="8" t="n">
        <f aca="false">D66+E66</f>
        <v>18</v>
      </c>
      <c r="G66" s="23" t="n">
        <f aca="false">IF(F66=0,"n/a",D66/F66)</f>
        <v>0.611111111111111</v>
      </c>
    </row>
    <row r="67" customFormat="false" ht="15" hidden="false" customHeight="true" outlineLevel="0" collapsed="false">
      <c r="A67" s="7" t="s">
        <v>102</v>
      </c>
      <c r="B67" s="7" t="s">
        <v>349</v>
      </c>
      <c r="C67" s="7" t="s">
        <v>103</v>
      </c>
      <c r="D67" s="8" t="n">
        <v>4</v>
      </c>
      <c r="E67" s="8" t="n">
        <v>9</v>
      </c>
      <c r="F67" s="8" t="n">
        <f aca="false">D67+E67</f>
        <v>13</v>
      </c>
      <c r="G67" s="23" t="n">
        <f aca="false">IF(F67=0,"n/a",D67/F67)</f>
        <v>0.307692307692308</v>
      </c>
    </row>
    <row r="68" customFormat="false" ht="15" hidden="false" customHeight="true" outlineLevel="0" collapsed="false">
      <c r="A68" s="7" t="s">
        <v>102</v>
      </c>
      <c r="B68" s="7" t="s">
        <v>350</v>
      </c>
      <c r="C68" s="7" t="s">
        <v>103</v>
      </c>
      <c r="D68" s="8" t="n">
        <v>9</v>
      </c>
      <c r="E68" s="8" t="n">
        <v>4</v>
      </c>
      <c r="F68" s="8" t="n">
        <f aca="false">D68+E68</f>
        <v>13</v>
      </c>
      <c r="G68" s="23" t="n">
        <f aca="false">IF(F68=0,"n/a",D68/F68)</f>
        <v>0.692307692307692</v>
      </c>
    </row>
    <row r="69" customFormat="false" ht="15" hidden="false" customHeight="true" outlineLevel="0" collapsed="false">
      <c r="A69" s="7" t="s">
        <v>102</v>
      </c>
      <c r="B69" s="7" t="s">
        <v>351</v>
      </c>
      <c r="C69" s="7" t="s">
        <v>103</v>
      </c>
      <c r="D69" s="8" t="n">
        <v>8</v>
      </c>
      <c r="E69" s="8" t="n">
        <v>1</v>
      </c>
      <c r="F69" s="8" t="n">
        <f aca="false">D69+E69</f>
        <v>9</v>
      </c>
      <c r="G69" s="23" t="n">
        <f aca="false">IF(F69=0,"n/a",D69/F69)</f>
        <v>0.888888888888889</v>
      </c>
    </row>
    <row r="70" customFormat="false" ht="15" hidden="false" customHeight="true" outlineLevel="0" collapsed="false">
      <c r="A70" s="7" t="s">
        <v>102</v>
      </c>
      <c r="B70" s="7" t="s">
        <v>352</v>
      </c>
      <c r="C70" s="7" t="s">
        <v>103</v>
      </c>
      <c r="D70" s="8" t="n">
        <v>5</v>
      </c>
      <c r="E70" s="8" t="n">
        <v>3</v>
      </c>
      <c r="F70" s="8" t="n">
        <f aca="false">D70+E70</f>
        <v>8</v>
      </c>
      <c r="G70" s="23" t="n">
        <f aca="false">IF(F70=0,"n/a",D70/F70)</f>
        <v>0.625</v>
      </c>
    </row>
    <row r="71" customFormat="false" ht="15" hidden="false" customHeight="true" outlineLevel="0" collapsed="false">
      <c r="A71" s="7" t="s">
        <v>102</v>
      </c>
      <c r="B71" s="7" t="s">
        <v>353</v>
      </c>
      <c r="C71" s="7" t="s">
        <v>103</v>
      </c>
      <c r="D71" s="8" t="n">
        <v>0</v>
      </c>
      <c r="E71" s="8" t="n">
        <v>8</v>
      </c>
      <c r="F71" s="8" t="n">
        <f aca="false">D71+E71</f>
        <v>8</v>
      </c>
      <c r="G71" s="23" t="n">
        <f aca="false">IF(F71=0,"n/a",D71/F71)</f>
        <v>0</v>
      </c>
    </row>
    <row r="72" customFormat="false" ht="15" hidden="false" customHeight="true" outlineLevel="0" collapsed="false">
      <c r="A72" s="7" t="s">
        <v>102</v>
      </c>
      <c r="B72" s="7" t="s">
        <v>354</v>
      </c>
      <c r="C72" s="7" t="s">
        <v>103</v>
      </c>
      <c r="D72" s="8" t="n">
        <v>0</v>
      </c>
      <c r="E72" s="8" t="n">
        <v>8</v>
      </c>
      <c r="F72" s="8" t="n">
        <f aca="false">D72+E72</f>
        <v>8</v>
      </c>
      <c r="G72" s="23" t="n">
        <f aca="false">IF(F72=0,"n/a",D72/F72)</f>
        <v>0</v>
      </c>
    </row>
    <row r="73" customFormat="false" ht="15" hidden="false" customHeight="true" outlineLevel="0" collapsed="false">
      <c r="A73" s="7" t="s">
        <v>102</v>
      </c>
      <c r="B73" s="7" t="s">
        <v>355</v>
      </c>
      <c r="C73" s="7" t="s">
        <v>103</v>
      </c>
      <c r="D73" s="8" t="n">
        <v>7</v>
      </c>
      <c r="E73" s="8" t="n">
        <v>0</v>
      </c>
      <c r="F73" s="8" t="n">
        <f aca="false">D73+E73</f>
        <v>7</v>
      </c>
      <c r="G73" s="23" t="n">
        <f aca="false">IF(F73=0,"n/a",D73/F73)</f>
        <v>1</v>
      </c>
    </row>
    <row r="74" customFormat="false" ht="15" hidden="false" customHeight="true" outlineLevel="0" collapsed="false">
      <c r="A74" s="7" t="s">
        <v>102</v>
      </c>
      <c r="B74" s="7" t="s">
        <v>356</v>
      </c>
      <c r="C74" s="7" t="s">
        <v>103</v>
      </c>
      <c r="D74" s="8" t="n">
        <v>0</v>
      </c>
      <c r="E74" s="8" t="n">
        <v>6</v>
      </c>
      <c r="F74" s="8" t="n">
        <f aca="false">D74+E74</f>
        <v>6</v>
      </c>
      <c r="G74" s="23" t="n">
        <f aca="false">IF(F74=0,"n/a",D74/F74)</f>
        <v>0</v>
      </c>
    </row>
    <row r="75" customFormat="false" ht="15" hidden="false" customHeight="true" outlineLevel="0" collapsed="false">
      <c r="A75" s="7" t="s">
        <v>102</v>
      </c>
      <c r="B75" s="7" t="s">
        <v>357</v>
      </c>
      <c r="C75" s="7" t="s">
        <v>103</v>
      </c>
      <c r="D75" s="8" t="n">
        <v>1</v>
      </c>
      <c r="E75" s="8" t="n">
        <v>4</v>
      </c>
      <c r="F75" s="8" t="n">
        <f aca="false">D75+E75</f>
        <v>5</v>
      </c>
      <c r="G75" s="23" t="n">
        <f aca="false">IF(F75=0,"n/a",D75/F75)</f>
        <v>0.2</v>
      </c>
    </row>
    <row r="76" customFormat="false" ht="15" hidden="false" customHeight="true" outlineLevel="0" collapsed="false">
      <c r="A76" s="7" t="s">
        <v>102</v>
      </c>
      <c r="B76" s="7" t="s">
        <v>358</v>
      </c>
      <c r="C76" s="7" t="s">
        <v>103</v>
      </c>
      <c r="D76" s="8" t="n">
        <v>4</v>
      </c>
      <c r="E76" s="8" t="n">
        <v>1</v>
      </c>
      <c r="F76" s="8" t="n">
        <f aca="false">D76+E76</f>
        <v>5</v>
      </c>
      <c r="G76" s="23" t="n">
        <f aca="false">IF(F76=0,"n/a",D76/F76)</f>
        <v>0.8</v>
      </c>
    </row>
    <row r="77" customFormat="false" ht="15" hidden="false" customHeight="true" outlineLevel="0" collapsed="false">
      <c r="A77" s="7" t="s">
        <v>102</v>
      </c>
      <c r="B77" s="7" t="s">
        <v>359</v>
      </c>
      <c r="C77" s="7" t="s">
        <v>103</v>
      </c>
      <c r="D77" s="8" t="n">
        <v>1</v>
      </c>
      <c r="E77" s="8" t="n">
        <v>4</v>
      </c>
      <c r="F77" s="8" t="n">
        <f aca="false">D77+E77</f>
        <v>5</v>
      </c>
      <c r="G77" s="23" t="n">
        <f aca="false">IF(F77=0,"n/a",D77/F77)</f>
        <v>0.2</v>
      </c>
    </row>
    <row r="78" customFormat="false" ht="15" hidden="false" customHeight="true" outlineLevel="0" collapsed="false">
      <c r="A78" s="7" t="s">
        <v>102</v>
      </c>
      <c r="B78" s="7" t="s">
        <v>360</v>
      </c>
      <c r="C78" s="7" t="s">
        <v>103</v>
      </c>
      <c r="D78" s="8" t="n">
        <v>3</v>
      </c>
      <c r="E78" s="8" t="n">
        <v>2</v>
      </c>
      <c r="F78" s="8" t="n">
        <f aca="false">D78+E78</f>
        <v>5</v>
      </c>
      <c r="G78" s="23" t="n">
        <f aca="false">IF(F78=0,"n/a",D78/F78)</f>
        <v>0.6</v>
      </c>
    </row>
    <row r="79" customFormat="false" ht="15" hidden="false" customHeight="true" outlineLevel="0" collapsed="false">
      <c r="A79" s="7" t="s">
        <v>102</v>
      </c>
      <c r="B79" s="7" t="s">
        <v>361</v>
      </c>
      <c r="C79" s="7" t="s">
        <v>103</v>
      </c>
      <c r="D79" s="8" t="n">
        <v>4</v>
      </c>
      <c r="E79" s="8" t="n">
        <v>0</v>
      </c>
      <c r="F79" s="8" t="n">
        <f aca="false">D79+E79</f>
        <v>4</v>
      </c>
      <c r="G79" s="23" t="n">
        <f aca="false">IF(F79=0,"n/a",D79/F79)</f>
        <v>1</v>
      </c>
    </row>
    <row r="80" customFormat="false" ht="15" hidden="false" customHeight="true" outlineLevel="0" collapsed="false">
      <c r="A80" s="7" t="s">
        <v>102</v>
      </c>
      <c r="B80" s="7" t="s">
        <v>362</v>
      </c>
      <c r="C80" s="7" t="s">
        <v>103</v>
      </c>
      <c r="D80" s="8" t="n">
        <v>0</v>
      </c>
      <c r="E80" s="8" t="n">
        <v>4</v>
      </c>
      <c r="F80" s="8" t="n">
        <f aca="false">D80+E80</f>
        <v>4</v>
      </c>
      <c r="G80" s="23" t="n">
        <f aca="false">IF(F80=0,"n/a",D80/F80)</f>
        <v>0</v>
      </c>
    </row>
    <row r="81" customFormat="false" ht="15" hidden="false" customHeight="true" outlineLevel="0" collapsed="false">
      <c r="A81" s="7" t="s">
        <v>102</v>
      </c>
      <c r="B81" s="7" t="s">
        <v>363</v>
      </c>
      <c r="C81" s="7" t="s">
        <v>103</v>
      </c>
      <c r="D81" s="8" t="n">
        <v>0</v>
      </c>
      <c r="E81" s="8" t="n">
        <v>4</v>
      </c>
      <c r="F81" s="8" t="n">
        <f aca="false">D81+E81</f>
        <v>4</v>
      </c>
      <c r="G81" s="23" t="n">
        <f aca="false">IF(F81=0,"n/a",D81/F81)</f>
        <v>0</v>
      </c>
    </row>
    <row r="82" customFormat="false" ht="15" hidden="false" customHeight="true" outlineLevel="0" collapsed="false">
      <c r="A82" s="7" t="s">
        <v>102</v>
      </c>
      <c r="B82" s="7" t="s">
        <v>364</v>
      </c>
      <c r="C82" s="7" t="s">
        <v>103</v>
      </c>
      <c r="D82" s="8" t="n">
        <v>4</v>
      </c>
      <c r="E82" s="8" t="n">
        <v>0</v>
      </c>
      <c r="F82" s="8" t="n">
        <f aca="false">D82+E82</f>
        <v>4</v>
      </c>
      <c r="G82" s="23" t="n">
        <f aca="false">IF(F82=0,"n/a",D82/F82)</f>
        <v>1</v>
      </c>
    </row>
    <row r="83" customFormat="false" ht="15" hidden="false" customHeight="true" outlineLevel="0" collapsed="false">
      <c r="A83" s="7" t="s">
        <v>102</v>
      </c>
      <c r="B83" s="7" t="s">
        <v>365</v>
      </c>
      <c r="C83" s="7" t="s">
        <v>103</v>
      </c>
      <c r="D83" s="8" t="n">
        <v>1</v>
      </c>
      <c r="E83" s="8" t="n">
        <v>3</v>
      </c>
      <c r="F83" s="8" t="n">
        <f aca="false">D83+E83</f>
        <v>4</v>
      </c>
      <c r="G83" s="23" t="n">
        <f aca="false">IF(F83=0,"n/a",D83/F83)</f>
        <v>0.25</v>
      </c>
    </row>
    <row r="84" customFormat="false" ht="15" hidden="false" customHeight="true" outlineLevel="0" collapsed="false">
      <c r="A84" s="7" t="s">
        <v>102</v>
      </c>
      <c r="B84" s="7" t="s">
        <v>366</v>
      </c>
      <c r="C84" s="7" t="s">
        <v>103</v>
      </c>
      <c r="D84" s="8" t="n">
        <v>3</v>
      </c>
      <c r="E84" s="8" t="n">
        <v>0</v>
      </c>
      <c r="F84" s="8" t="n">
        <f aca="false">D84+E84</f>
        <v>3</v>
      </c>
      <c r="G84" s="23" t="n">
        <f aca="false">IF(F84=0,"n/a",D84/F84)</f>
        <v>1</v>
      </c>
    </row>
    <row r="85" customFormat="false" ht="15" hidden="false" customHeight="true" outlineLevel="0" collapsed="false">
      <c r="A85" s="7" t="s">
        <v>102</v>
      </c>
      <c r="B85" s="7" t="s">
        <v>367</v>
      </c>
      <c r="C85" s="7" t="s">
        <v>103</v>
      </c>
      <c r="D85" s="8" t="n">
        <v>3</v>
      </c>
      <c r="E85" s="8" t="n">
        <v>0</v>
      </c>
      <c r="F85" s="8" t="n">
        <f aca="false">D85+E85</f>
        <v>3</v>
      </c>
      <c r="G85" s="23" t="n">
        <f aca="false">IF(F85=0,"n/a",D85/F85)</f>
        <v>1</v>
      </c>
    </row>
    <row r="86" customFormat="false" ht="15" hidden="false" customHeight="true" outlineLevel="0" collapsed="false">
      <c r="A86" s="7" t="s">
        <v>102</v>
      </c>
      <c r="B86" s="7" t="s">
        <v>368</v>
      </c>
      <c r="C86" s="7" t="s">
        <v>103</v>
      </c>
      <c r="D86" s="8" t="n">
        <v>2</v>
      </c>
      <c r="E86" s="8" t="n">
        <v>1</v>
      </c>
      <c r="F86" s="8" t="n">
        <f aca="false">D86+E86</f>
        <v>3</v>
      </c>
      <c r="G86" s="23" t="n">
        <f aca="false">IF(F86=0,"n/a",D86/F86)</f>
        <v>0.666666666666667</v>
      </c>
    </row>
    <row r="87" customFormat="false" ht="15" hidden="false" customHeight="true" outlineLevel="0" collapsed="false">
      <c r="A87" s="7" t="s">
        <v>102</v>
      </c>
      <c r="B87" s="7" t="s">
        <v>369</v>
      </c>
      <c r="C87" s="7" t="s">
        <v>103</v>
      </c>
      <c r="D87" s="8" t="n">
        <v>0</v>
      </c>
      <c r="E87" s="8" t="n">
        <v>3</v>
      </c>
      <c r="F87" s="8" t="n">
        <f aca="false">D87+E87</f>
        <v>3</v>
      </c>
      <c r="G87" s="23" t="n">
        <f aca="false">IF(F87=0,"n/a",D87/F87)</f>
        <v>0</v>
      </c>
    </row>
    <row r="88" customFormat="false" ht="15" hidden="false" customHeight="true" outlineLevel="0" collapsed="false">
      <c r="A88" s="7" t="s">
        <v>102</v>
      </c>
      <c r="B88" s="7" t="s">
        <v>370</v>
      </c>
      <c r="C88" s="7" t="s">
        <v>103</v>
      </c>
      <c r="D88" s="8" t="n">
        <v>3</v>
      </c>
      <c r="E88" s="8" t="n">
        <v>0</v>
      </c>
      <c r="F88" s="8" t="n">
        <f aca="false">D88+E88</f>
        <v>3</v>
      </c>
      <c r="G88" s="23" t="n">
        <f aca="false">IF(F88=0,"n/a",D88/F88)</f>
        <v>1</v>
      </c>
    </row>
    <row r="89" customFormat="false" ht="15" hidden="false" customHeight="true" outlineLevel="0" collapsed="false">
      <c r="A89" s="7" t="s">
        <v>102</v>
      </c>
      <c r="B89" s="7" t="s">
        <v>371</v>
      </c>
      <c r="C89" s="7" t="s">
        <v>103</v>
      </c>
      <c r="D89" s="8" t="n">
        <v>0</v>
      </c>
      <c r="E89" s="8" t="n">
        <v>3</v>
      </c>
      <c r="F89" s="8" t="n">
        <f aca="false">D89+E89</f>
        <v>3</v>
      </c>
      <c r="G89" s="23" t="n">
        <f aca="false">IF(F89=0,"n/a",D89/F89)</f>
        <v>0</v>
      </c>
    </row>
    <row r="90" customFormat="false" ht="15" hidden="false" customHeight="true" outlineLevel="0" collapsed="false">
      <c r="A90" s="7" t="s">
        <v>102</v>
      </c>
      <c r="B90" s="7" t="s">
        <v>372</v>
      </c>
      <c r="C90" s="7" t="s">
        <v>103</v>
      </c>
      <c r="D90" s="8" t="n">
        <v>3</v>
      </c>
      <c r="E90" s="8" t="n">
        <v>0</v>
      </c>
      <c r="F90" s="8" t="n">
        <f aca="false">D90+E90</f>
        <v>3</v>
      </c>
      <c r="G90" s="23" t="n">
        <f aca="false">IF(F90=0,"n/a",D90/F90)</f>
        <v>1</v>
      </c>
    </row>
    <row r="91" customFormat="false" ht="15" hidden="false" customHeight="true" outlineLevel="0" collapsed="false">
      <c r="A91" s="7" t="s">
        <v>102</v>
      </c>
      <c r="B91" s="7" t="s">
        <v>373</v>
      </c>
      <c r="C91" s="7" t="s">
        <v>103</v>
      </c>
      <c r="D91" s="8" t="n">
        <v>0</v>
      </c>
      <c r="E91" s="8" t="n">
        <v>3</v>
      </c>
      <c r="F91" s="8" t="n">
        <f aca="false">D91+E91</f>
        <v>3</v>
      </c>
      <c r="G91" s="23" t="n">
        <f aca="false">IF(F91=0,"n/a",D91/F91)</f>
        <v>0</v>
      </c>
    </row>
    <row r="92" customFormat="false" ht="15" hidden="false" customHeight="true" outlineLevel="0" collapsed="false">
      <c r="A92" s="7" t="s">
        <v>102</v>
      </c>
      <c r="B92" s="7" t="s">
        <v>374</v>
      </c>
      <c r="C92" s="7" t="s">
        <v>103</v>
      </c>
      <c r="D92" s="8" t="n">
        <v>2</v>
      </c>
      <c r="E92" s="8" t="n">
        <v>1</v>
      </c>
      <c r="F92" s="8" t="n">
        <f aca="false">D92+E92</f>
        <v>3</v>
      </c>
      <c r="G92" s="23" t="n">
        <f aca="false">IF(F92=0,"n/a",D92/F92)</f>
        <v>0.666666666666667</v>
      </c>
    </row>
    <row r="93" customFormat="false" ht="15" hidden="false" customHeight="true" outlineLevel="0" collapsed="false">
      <c r="A93" s="7" t="s">
        <v>102</v>
      </c>
      <c r="B93" s="7" t="s">
        <v>375</v>
      </c>
      <c r="C93" s="7" t="s">
        <v>103</v>
      </c>
      <c r="D93" s="8" t="n">
        <v>2</v>
      </c>
      <c r="E93" s="8" t="n">
        <v>1</v>
      </c>
      <c r="F93" s="8" t="n">
        <f aca="false">D93+E93</f>
        <v>3</v>
      </c>
      <c r="G93" s="23" t="n">
        <f aca="false">IF(F93=0,"n/a",D93/F93)</f>
        <v>0.666666666666667</v>
      </c>
    </row>
    <row r="94" customFormat="false" ht="15" hidden="false" customHeight="true" outlineLevel="0" collapsed="false">
      <c r="A94" s="7" t="s">
        <v>102</v>
      </c>
      <c r="B94" s="7" t="s">
        <v>376</v>
      </c>
      <c r="C94" s="7" t="s">
        <v>103</v>
      </c>
      <c r="D94" s="8" t="n">
        <v>0</v>
      </c>
      <c r="E94" s="8" t="n">
        <v>3</v>
      </c>
      <c r="F94" s="8" t="n">
        <f aca="false">D94+E94</f>
        <v>3</v>
      </c>
      <c r="G94" s="23" t="n">
        <f aca="false">IF(F94=0,"n/a",D94/F94)</f>
        <v>0</v>
      </c>
    </row>
    <row r="95" customFormat="false" ht="15" hidden="false" customHeight="true" outlineLevel="0" collapsed="false">
      <c r="A95" s="7" t="s">
        <v>102</v>
      </c>
      <c r="B95" s="7" t="s">
        <v>377</v>
      </c>
      <c r="C95" s="7" t="s">
        <v>103</v>
      </c>
      <c r="D95" s="8" t="n">
        <v>3</v>
      </c>
      <c r="E95" s="8" t="n">
        <v>0</v>
      </c>
      <c r="F95" s="8" t="n">
        <f aca="false">D95+E95</f>
        <v>3</v>
      </c>
      <c r="G95" s="23" t="n">
        <f aca="false">IF(F95=0,"n/a",D95/F95)</f>
        <v>1</v>
      </c>
    </row>
    <row r="96" customFormat="false" ht="15" hidden="false" customHeight="true" outlineLevel="0" collapsed="false">
      <c r="A96" s="7" t="s">
        <v>102</v>
      </c>
      <c r="B96" s="7" t="s">
        <v>378</v>
      </c>
      <c r="C96" s="7" t="s">
        <v>103</v>
      </c>
      <c r="D96" s="8" t="n">
        <v>1</v>
      </c>
      <c r="E96" s="8" t="n">
        <v>1</v>
      </c>
      <c r="F96" s="8" t="n">
        <f aca="false">D96+E96</f>
        <v>2</v>
      </c>
      <c r="G96" s="23" t="n">
        <f aca="false">IF(F96=0,"n/a",D96/F96)</f>
        <v>0.5</v>
      </c>
    </row>
    <row r="97" customFormat="false" ht="15" hidden="false" customHeight="true" outlineLevel="0" collapsed="false">
      <c r="A97" s="7" t="s">
        <v>102</v>
      </c>
      <c r="B97" s="7" t="s">
        <v>379</v>
      </c>
      <c r="C97" s="7" t="s">
        <v>103</v>
      </c>
      <c r="D97" s="8" t="n">
        <v>0</v>
      </c>
      <c r="E97" s="8" t="n">
        <v>2</v>
      </c>
      <c r="F97" s="8" t="n">
        <f aca="false">D97+E97</f>
        <v>2</v>
      </c>
      <c r="G97" s="23" t="n">
        <f aca="false">IF(F97=0,"n/a",D97/F97)</f>
        <v>0</v>
      </c>
    </row>
    <row r="98" customFormat="false" ht="15" hidden="false" customHeight="true" outlineLevel="0" collapsed="false">
      <c r="A98" s="7" t="s">
        <v>102</v>
      </c>
      <c r="B98" s="7" t="s">
        <v>380</v>
      </c>
      <c r="C98" s="7" t="s">
        <v>103</v>
      </c>
      <c r="D98" s="8" t="n">
        <v>2</v>
      </c>
      <c r="E98" s="8" t="n">
        <v>0</v>
      </c>
      <c r="F98" s="8" t="n">
        <f aca="false">D98+E98</f>
        <v>2</v>
      </c>
      <c r="G98" s="23" t="n">
        <f aca="false">IF(F98=0,"n/a",D98/F98)</f>
        <v>1</v>
      </c>
    </row>
    <row r="99" customFormat="false" ht="15" hidden="false" customHeight="true" outlineLevel="0" collapsed="false">
      <c r="A99" s="7" t="s">
        <v>102</v>
      </c>
      <c r="B99" s="7" t="s">
        <v>381</v>
      </c>
      <c r="C99" s="7" t="s">
        <v>103</v>
      </c>
      <c r="D99" s="8" t="n">
        <v>2</v>
      </c>
      <c r="E99" s="8" t="n">
        <v>0</v>
      </c>
      <c r="F99" s="8" t="n">
        <f aca="false">D99+E99</f>
        <v>2</v>
      </c>
      <c r="G99" s="23" t="n">
        <f aca="false">IF(F99=0,"n/a",D99/F99)</f>
        <v>1</v>
      </c>
    </row>
    <row r="100" customFormat="false" ht="15" hidden="false" customHeight="true" outlineLevel="0" collapsed="false">
      <c r="A100" s="7" t="s">
        <v>102</v>
      </c>
      <c r="B100" s="7" t="s">
        <v>382</v>
      </c>
      <c r="C100" s="7" t="s">
        <v>103</v>
      </c>
      <c r="D100" s="8" t="n">
        <v>1</v>
      </c>
      <c r="E100" s="8" t="n">
        <v>1</v>
      </c>
      <c r="F100" s="8" t="n">
        <f aca="false">D100+E100</f>
        <v>2</v>
      </c>
      <c r="G100" s="23" t="n">
        <f aca="false">IF(F100=0,"n/a",D100/F100)</f>
        <v>0.5</v>
      </c>
    </row>
    <row r="101" customFormat="false" ht="15" hidden="false" customHeight="true" outlineLevel="0" collapsed="false">
      <c r="A101" s="7" t="s">
        <v>102</v>
      </c>
      <c r="B101" s="7" t="s">
        <v>383</v>
      </c>
      <c r="C101" s="7" t="s">
        <v>103</v>
      </c>
      <c r="D101" s="8" t="n">
        <v>1</v>
      </c>
      <c r="E101" s="8" t="n">
        <v>1</v>
      </c>
      <c r="F101" s="8" t="n">
        <f aca="false">D101+E101</f>
        <v>2</v>
      </c>
      <c r="G101" s="23" t="n">
        <f aca="false">IF(F101=0,"n/a",D101/F101)</f>
        <v>0.5</v>
      </c>
    </row>
    <row r="102" customFormat="false" ht="15" hidden="false" customHeight="true" outlineLevel="0" collapsed="false">
      <c r="A102" s="7" t="s">
        <v>102</v>
      </c>
      <c r="B102" s="7" t="s">
        <v>384</v>
      </c>
      <c r="C102" s="7" t="s">
        <v>103</v>
      </c>
      <c r="D102" s="8" t="n">
        <v>2</v>
      </c>
      <c r="E102" s="8" t="n">
        <v>0</v>
      </c>
      <c r="F102" s="8" t="n">
        <f aca="false">D102+E102</f>
        <v>2</v>
      </c>
      <c r="G102" s="23" t="n">
        <f aca="false">IF(F102=0,"n/a",D102/F102)</f>
        <v>1</v>
      </c>
    </row>
    <row r="103" customFormat="false" ht="15" hidden="false" customHeight="true" outlineLevel="0" collapsed="false">
      <c r="A103" s="7" t="s">
        <v>102</v>
      </c>
      <c r="B103" s="7" t="s">
        <v>385</v>
      </c>
      <c r="C103" s="7" t="s">
        <v>103</v>
      </c>
      <c r="D103" s="8" t="n">
        <v>0</v>
      </c>
      <c r="E103" s="8" t="n">
        <v>2</v>
      </c>
      <c r="F103" s="8" t="n">
        <f aca="false">D103+E103</f>
        <v>2</v>
      </c>
      <c r="G103" s="23" t="n">
        <f aca="false">IF(F103=0,"n/a",D103/F103)</f>
        <v>0</v>
      </c>
    </row>
    <row r="104" customFormat="false" ht="15" hidden="false" customHeight="true" outlineLevel="0" collapsed="false">
      <c r="A104" s="7" t="s">
        <v>102</v>
      </c>
      <c r="B104" s="7" t="s">
        <v>386</v>
      </c>
      <c r="C104" s="7" t="s">
        <v>103</v>
      </c>
      <c r="D104" s="8" t="n">
        <v>2</v>
      </c>
      <c r="E104" s="8" t="n">
        <v>0</v>
      </c>
      <c r="F104" s="8" t="n">
        <f aca="false">D104+E104</f>
        <v>2</v>
      </c>
      <c r="G104" s="23" t="n">
        <f aca="false">IF(F104=0,"n/a",D104/F104)</f>
        <v>1</v>
      </c>
    </row>
    <row r="105" customFormat="false" ht="15" hidden="false" customHeight="true" outlineLevel="0" collapsed="false">
      <c r="A105" s="7" t="s">
        <v>102</v>
      </c>
      <c r="B105" s="7" t="s">
        <v>387</v>
      </c>
      <c r="C105" s="7" t="s">
        <v>103</v>
      </c>
      <c r="D105" s="8" t="n">
        <v>2</v>
      </c>
      <c r="E105" s="8" t="n">
        <v>0</v>
      </c>
      <c r="F105" s="8" t="n">
        <f aca="false">D105+E105</f>
        <v>2</v>
      </c>
      <c r="G105" s="23" t="n">
        <f aca="false">IF(F105=0,"n/a",D105/F105)</f>
        <v>1</v>
      </c>
    </row>
    <row r="106" customFormat="false" ht="15" hidden="false" customHeight="true" outlineLevel="0" collapsed="false">
      <c r="A106" s="7" t="s">
        <v>102</v>
      </c>
      <c r="B106" s="7" t="s">
        <v>388</v>
      </c>
      <c r="C106" s="7" t="s">
        <v>103</v>
      </c>
      <c r="D106" s="8" t="n">
        <v>0</v>
      </c>
      <c r="E106" s="8" t="n">
        <v>2</v>
      </c>
      <c r="F106" s="8" t="n">
        <f aca="false">D106+E106</f>
        <v>2</v>
      </c>
      <c r="G106" s="23" t="n">
        <f aca="false">IF(F106=0,"n/a",D106/F106)</f>
        <v>0</v>
      </c>
    </row>
    <row r="107" customFormat="false" ht="15" hidden="false" customHeight="true" outlineLevel="0" collapsed="false">
      <c r="A107" s="7" t="s">
        <v>102</v>
      </c>
      <c r="B107" s="7" t="s">
        <v>389</v>
      </c>
      <c r="C107" s="7" t="s">
        <v>103</v>
      </c>
      <c r="D107" s="8" t="n">
        <v>1</v>
      </c>
      <c r="E107" s="8" t="n">
        <v>1</v>
      </c>
      <c r="F107" s="8" t="n">
        <f aca="false">D107+E107</f>
        <v>2</v>
      </c>
      <c r="G107" s="23" t="n">
        <f aca="false">IF(F107=0,"n/a",D107/F107)</f>
        <v>0.5</v>
      </c>
    </row>
    <row r="108" customFormat="false" ht="15" hidden="false" customHeight="true" outlineLevel="0" collapsed="false">
      <c r="A108" s="7" t="s">
        <v>102</v>
      </c>
      <c r="B108" s="7" t="s">
        <v>390</v>
      </c>
      <c r="C108" s="7" t="s">
        <v>103</v>
      </c>
      <c r="D108" s="8" t="n">
        <v>2</v>
      </c>
      <c r="E108" s="8" t="n">
        <v>0</v>
      </c>
      <c r="F108" s="8" t="n">
        <f aca="false">D108+E108</f>
        <v>2</v>
      </c>
      <c r="G108" s="23" t="n">
        <f aca="false">IF(F108=0,"n/a",D108/F108)</f>
        <v>1</v>
      </c>
    </row>
    <row r="109" customFormat="false" ht="15" hidden="false" customHeight="true" outlineLevel="0" collapsed="false">
      <c r="A109" s="7" t="s">
        <v>102</v>
      </c>
      <c r="B109" s="7" t="s">
        <v>391</v>
      </c>
      <c r="C109" s="7" t="s">
        <v>103</v>
      </c>
      <c r="D109" s="8" t="n">
        <v>0</v>
      </c>
      <c r="E109" s="8" t="n">
        <v>2</v>
      </c>
      <c r="F109" s="8" t="n">
        <f aca="false">D109+E109</f>
        <v>2</v>
      </c>
      <c r="G109" s="23" t="n">
        <f aca="false">IF(F109=0,"n/a",D109/F109)</f>
        <v>0</v>
      </c>
    </row>
    <row r="110" customFormat="false" ht="15" hidden="false" customHeight="true" outlineLevel="0" collapsed="false">
      <c r="A110" s="7" t="s">
        <v>102</v>
      </c>
      <c r="B110" s="7" t="s">
        <v>392</v>
      </c>
      <c r="C110" s="7" t="s">
        <v>103</v>
      </c>
      <c r="D110" s="8" t="n">
        <v>1</v>
      </c>
      <c r="E110" s="8" t="n">
        <v>1</v>
      </c>
      <c r="F110" s="8" t="n">
        <f aca="false">D110+E110</f>
        <v>2</v>
      </c>
      <c r="G110" s="23" t="n">
        <f aca="false">IF(F110=0,"n/a",D110/F110)</f>
        <v>0.5</v>
      </c>
    </row>
    <row r="111" customFormat="false" ht="15" hidden="false" customHeight="true" outlineLevel="0" collapsed="false">
      <c r="A111" s="7" t="s">
        <v>102</v>
      </c>
      <c r="B111" s="7" t="s">
        <v>393</v>
      </c>
      <c r="C111" s="7" t="s">
        <v>103</v>
      </c>
      <c r="D111" s="8" t="n">
        <v>0</v>
      </c>
      <c r="E111" s="8" t="n">
        <v>2</v>
      </c>
      <c r="F111" s="8" t="n">
        <f aca="false">D111+E111</f>
        <v>2</v>
      </c>
      <c r="G111" s="23" t="n">
        <f aca="false">IF(F111=0,"n/a",D111/F111)</f>
        <v>0</v>
      </c>
    </row>
    <row r="112" customFormat="false" ht="15" hidden="false" customHeight="true" outlineLevel="0" collapsed="false">
      <c r="A112" s="7" t="s">
        <v>102</v>
      </c>
      <c r="B112" s="7" t="s">
        <v>394</v>
      </c>
      <c r="C112" s="7" t="s">
        <v>103</v>
      </c>
      <c r="D112" s="8" t="n">
        <v>0</v>
      </c>
      <c r="E112" s="8" t="n">
        <v>2</v>
      </c>
      <c r="F112" s="8" t="n">
        <f aca="false">D112+E112</f>
        <v>2</v>
      </c>
      <c r="G112" s="23" t="n">
        <f aca="false">IF(F112=0,"n/a",D112/F112)</f>
        <v>0</v>
      </c>
    </row>
    <row r="113" customFormat="false" ht="15" hidden="false" customHeight="true" outlineLevel="0" collapsed="false">
      <c r="A113" s="7" t="s">
        <v>102</v>
      </c>
      <c r="B113" s="7" t="s">
        <v>395</v>
      </c>
      <c r="C113" s="7" t="s">
        <v>103</v>
      </c>
      <c r="D113" s="8" t="n">
        <v>2</v>
      </c>
      <c r="E113" s="8" t="n">
        <v>0</v>
      </c>
      <c r="F113" s="8" t="n">
        <f aca="false">D113+E113</f>
        <v>2</v>
      </c>
      <c r="G113" s="23" t="n">
        <f aca="false">IF(F113=0,"n/a",D113/F113)</f>
        <v>1</v>
      </c>
    </row>
    <row r="114" customFormat="false" ht="15" hidden="false" customHeight="true" outlineLevel="0" collapsed="false">
      <c r="A114" s="7" t="s">
        <v>102</v>
      </c>
      <c r="B114" s="7" t="s">
        <v>396</v>
      </c>
      <c r="C114" s="7" t="s">
        <v>103</v>
      </c>
      <c r="D114" s="8" t="n">
        <v>0</v>
      </c>
      <c r="E114" s="8" t="n">
        <v>2</v>
      </c>
      <c r="F114" s="8" t="n">
        <f aca="false">D114+E114</f>
        <v>2</v>
      </c>
      <c r="G114" s="23" t="n">
        <f aca="false">IF(F114=0,"n/a",D114/F114)</f>
        <v>0</v>
      </c>
    </row>
    <row r="115" customFormat="false" ht="15" hidden="false" customHeight="true" outlineLevel="0" collapsed="false">
      <c r="A115" s="7" t="s">
        <v>102</v>
      </c>
      <c r="B115" s="7" t="s">
        <v>397</v>
      </c>
      <c r="C115" s="7" t="s">
        <v>103</v>
      </c>
      <c r="D115" s="8" t="n">
        <v>0</v>
      </c>
      <c r="E115" s="8" t="n">
        <v>2</v>
      </c>
      <c r="F115" s="8" t="n">
        <f aca="false">D115+E115</f>
        <v>2</v>
      </c>
      <c r="G115" s="23" t="n">
        <f aca="false">IF(F115=0,"n/a",D115/F115)</f>
        <v>0</v>
      </c>
    </row>
    <row r="116" customFormat="false" ht="15" hidden="false" customHeight="true" outlineLevel="0" collapsed="false">
      <c r="A116" s="7" t="s">
        <v>102</v>
      </c>
      <c r="B116" s="7" t="s">
        <v>398</v>
      </c>
      <c r="C116" s="7" t="s">
        <v>103</v>
      </c>
      <c r="D116" s="8" t="n">
        <v>1</v>
      </c>
      <c r="E116" s="8" t="n">
        <v>1</v>
      </c>
      <c r="F116" s="8" t="n">
        <f aca="false">D116+E116</f>
        <v>2</v>
      </c>
      <c r="G116" s="23" t="n">
        <f aca="false">IF(F116=0,"n/a",D116/F116)</f>
        <v>0.5</v>
      </c>
    </row>
    <row r="117" customFormat="false" ht="15" hidden="false" customHeight="true" outlineLevel="0" collapsed="false">
      <c r="A117" s="7" t="s">
        <v>102</v>
      </c>
      <c r="B117" s="7" t="s">
        <v>399</v>
      </c>
      <c r="C117" s="7" t="s">
        <v>103</v>
      </c>
      <c r="D117" s="8" t="n">
        <v>2</v>
      </c>
      <c r="E117" s="8" t="n">
        <v>0</v>
      </c>
      <c r="F117" s="8" t="n">
        <f aca="false">D117+E117</f>
        <v>2</v>
      </c>
      <c r="G117" s="23" t="n">
        <f aca="false">IF(F117=0,"n/a",D117/F117)</f>
        <v>1</v>
      </c>
    </row>
    <row r="118" customFormat="false" ht="15" hidden="false" customHeight="true" outlineLevel="0" collapsed="false">
      <c r="A118" s="7" t="s">
        <v>102</v>
      </c>
      <c r="B118" s="7" t="s">
        <v>400</v>
      </c>
      <c r="C118" s="7" t="s">
        <v>103</v>
      </c>
      <c r="D118" s="8" t="n">
        <v>1</v>
      </c>
      <c r="E118" s="8" t="n">
        <v>1</v>
      </c>
      <c r="F118" s="8" t="n">
        <f aca="false">D118+E118</f>
        <v>2</v>
      </c>
      <c r="G118" s="23" t="n">
        <f aca="false">IF(F118=0,"n/a",D118/F118)</f>
        <v>0.5</v>
      </c>
    </row>
    <row r="119" customFormat="false" ht="15" hidden="false" customHeight="true" outlineLevel="0" collapsed="false">
      <c r="A119" s="7" t="s">
        <v>102</v>
      </c>
      <c r="B119" s="7" t="s">
        <v>401</v>
      </c>
      <c r="C119" s="7" t="s">
        <v>103</v>
      </c>
      <c r="D119" s="8" t="n">
        <v>1</v>
      </c>
      <c r="E119" s="8" t="n">
        <v>1</v>
      </c>
      <c r="F119" s="8" t="n">
        <f aca="false">D119+E119</f>
        <v>2</v>
      </c>
      <c r="G119" s="23" t="n">
        <f aca="false">IF(F119=0,"n/a",D119/F119)</f>
        <v>0.5</v>
      </c>
    </row>
    <row r="120" customFormat="false" ht="15" hidden="false" customHeight="true" outlineLevel="0" collapsed="false">
      <c r="A120" s="7" t="s">
        <v>102</v>
      </c>
      <c r="B120" s="7" t="s">
        <v>402</v>
      </c>
      <c r="C120" s="7" t="s">
        <v>103</v>
      </c>
      <c r="D120" s="8" t="n">
        <v>2</v>
      </c>
      <c r="E120" s="8" t="n">
        <v>0</v>
      </c>
      <c r="F120" s="8" t="n">
        <f aca="false">D120+E120</f>
        <v>2</v>
      </c>
      <c r="G120" s="23" t="n">
        <f aca="false">IF(F120=0,"n/a",D120/F120)</f>
        <v>1</v>
      </c>
    </row>
    <row r="121" customFormat="false" ht="15" hidden="false" customHeight="true" outlineLevel="0" collapsed="false">
      <c r="A121" s="7" t="s">
        <v>102</v>
      </c>
      <c r="B121" s="7" t="s">
        <v>403</v>
      </c>
      <c r="C121" s="7" t="s">
        <v>103</v>
      </c>
      <c r="D121" s="8" t="n">
        <v>1</v>
      </c>
      <c r="E121" s="8" t="n">
        <v>1</v>
      </c>
      <c r="F121" s="8" t="n">
        <f aca="false">D121+E121</f>
        <v>2</v>
      </c>
      <c r="G121" s="23" t="n">
        <f aca="false">IF(F121=0,"n/a",D121/F121)</f>
        <v>0.5</v>
      </c>
    </row>
    <row r="122" customFormat="false" ht="15" hidden="false" customHeight="true" outlineLevel="0" collapsed="false">
      <c r="A122" s="7" t="s">
        <v>102</v>
      </c>
      <c r="B122" s="7" t="s">
        <v>404</v>
      </c>
      <c r="C122" s="7" t="s">
        <v>103</v>
      </c>
      <c r="D122" s="8" t="n">
        <v>0</v>
      </c>
      <c r="E122" s="8" t="n">
        <v>2</v>
      </c>
      <c r="F122" s="8" t="n">
        <f aca="false">D122+E122</f>
        <v>2</v>
      </c>
      <c r="G122" s="23" t="n">
        <f aca="false">IF(F122=0,"n/a",D122/F122)</f>
        <v>0</v>
      </c>
    </row>
    <row r="123" customFormat="false" ht="15" hidden="false" customHeight="true" outlineLevel="0" collapsed="false">
      <c r="A123" s="7" t="s">
        <v>102</v>
      </c>
      <c r="B123" s="7" t="s">
        <v>405</v>
      </c>
      <c r="C123" s="7" t="s">
        <v>103</v>
      </c>
      <c r="D123" s="8" t="n">
        <v>0</v>
      </c>
      <c r="E123" s="8" t="n">
        <v>1</v>
      </c>
      <c r="F123" s="8" t="n">
        <f aca="false">D123+E123</f>
        <v>1</v>
      </c>
      <c r="G123" s="23" t="n">
        <f aca="false">IF(F123=0,"n/a",D123/F123)</f>
        <v>0</v>
      </c>
    </row>
    <row r="124" customFormat="false" ht="15" hidden="false" customHeight="true" outlineLevel="0" collapsed="false">
      <c r="A124" s="7" t="s">
        <v>102</v>
      </c>
      <c r="B124" s="7" t="s">
        <v>406</v>
      </c>
      <c r="C124" s="7" t="s">
        <v>103</v>
      </c>
      <c r="D124" s="8" t="n">
        <v>1</v>
      </c>
      <c r="E124" s="8" t="n">
        <v>0</v>
      </c>
      <c r="F124" s="8" t="n">
        <f aca="false">D124+E124</f>
        <v>1</v>
      </c>
      <c r="G124" s="23" t="n">
        <f aca="false">IF(F124=0,"n/a",D124/F124)</f>
        <v>1</v>
      </c>
    </row>
    <row r="125" customFormat="false" ht="15" hidden="false" customHeight="true" outlineLevel="0" collapsed="false">
      <c r="A125" s="7" t="s">
        <v>102</v>
      </c>
      <c r="B125" s="7" t="s">
        <v>407</v>
      </c>
      <c r="C125" s="7" t="s">
        <v>103</v>
      </c>
      <c r="D125" s="8" t="n">
        <v>0</v>
      </c>
      <c r="E125" s="8" t="n">
        <v>1</v>
      </c>
      <c r="F125" s="8" t="n">
        <f aca="false">D125+E125</f>
        <v>1</v>
      </c>
      <c r="G125" s="23" t="n">
        <f aca="false">IF(F125=0,"n/a",D125/F125)</f>
        <v>0</v>
      </c>
    </row>
    <row r="126" customFormat="false" ht="15" hidden="false" customHeight="true" outlineLevel="0" collapsed="false">
      <c r="A126" s="7" t="s">
        <v>102</v>
      </c>
      <c r="B126" s="7" t="s">
        <v>408</v>
      </c>
      <c r="C126" s="7" t="s">
        <v>103</v>
      </c>
      <c r="D126" s="8" t="n">
        <v>1</v>
      </c>
      <c r="E126" s="8" t="n">
        <v>0</v>
      </c>
      <c r="F126" s="8" t="n">
        <f aca="false">D126+E126</f>
        <v>1</v>
      </c>
      <c r="G126" s="23" t="n">
        <f aca="false">IF(F126=0,"n/a",D126/F126)</f>
        <v>1</v>
      </c>
    </row>
    <row r="127" customFormat="false" ht="15" hidden="false" customHeight="true" outlineLevel="0" collapsed="false">
      <c r="A127" s="7" t="s">
        <v>102</v>
      </c>
      <c r="B127" s="7" t="s">
        <v>409</v>
      </c>
      <c r="C127" s="7" t="s">
        <v>103</v>
      </c>
      <c r="D127" s="8" t="n">
        <v>0</v>
      </c>
      <c r="E127" s="8" t="n">
        <v>1</v>
      </c>
      <c r="F127" s="8" t="n">
        <f aca="false">D127+E127</f>
        <v>1</v>
      </c>
      <c r="G127" s="23" t="n">
        <f aca="false">IF(F127=0,"n/a",D127/F127)</f>
        <v>0</v>
      </c>
    </row>
    <row r="128" customFormat="false" ht="15" hidden="false" customHeight="true" outlineLevel="0" collapsed="false">
      <c r="A128" s="7" t="s">
        <v>102</v>
      </c>
      <c r="B128" s="7" t="s">
        <v>410</v>
      </c>
      <c r="C128" s="7" t="s">
        <v>103</v>
      </c>
      <c r="D128" s="8" t="n">
        <v>0</v>
      </c>
      <c r="E128" s="8" t="n">
        <v>1</v>
      </c>
      <c r="F128" s="8" t="n">
        <f aca="false">D128+E128</f>
        <v>1</v>
      </c>
      <c r="G128" s="23" t="n">
        <f aca="false">IF(F128=0,"n/a",D128/F128)</f>
        <v>0</v>
      </c>
    </row>
    <row r="129" customFormat="false" ht="15" hidden="false" customHeight="true" outlineLevel="0" collapsed="false">
      <c r="A129" s="7" t="s">
        <v>102</v>
      </c>
      <c r="B129" s="7" t="s">
        <v>411</v>
      </c>
      <c r="C129" s="7" t="s">
        <v>103</v>
      </c>
      <c r="D129" s="8" t="n">
        <v>0</v>
      </c>
      <c r="E129" s="8" t="n">
        <v>1</v>
      </c>
      <c r="F129" s="8" t="n">
        <f aca="false">D129+E129</f>
        <v>1</v>
      </c>
      <c r="G129" s="23" t="n">
        <f aca="false">IF(F129=0,"n/a",D129/F129)</f>
        <v>0</v>
      </c>
    </row>
    <row r="130" customFormat="false" ht="15" hidden="false" customHeight="true" outlineLevel="0" collapsed="false">
      <c r="A130" s="7" t="s">
        <v>102</v>
      </c>
      <c r="B130" s="7" t="s">
        <v>412</v>
      </c>
      <c r="C130" s="7" t="s">
        <v>103</v>
      </c>
      <c r="D130" s="8" t="n">
        <v>0</v>
      </c>
      <c r="E130" s="8" t="n">
        <v>1</v>
      </c>
      <c r="F130" s="8" t="n">
        <f aca="false">D130+E130</f>
        <v>1</v>
      </c>
      <c r="G130" s="23" t="n">
        <f aca="false">IF(F130=0,"n/a",D130/F130)</f>
        <v>0</v>
      </c>
    </row>
    <row r="131" customFormat="false" ht="15" hidden="false" customHeight="true" outlineLevel="0" collapsed="false">
      <c r="A131" s="7" t="s">
        <v>102</v>
      </c>
      <c r="B131" s="7" t="s">
        <v>413</v>
      </c>
      <c r="C131" s="7" t="s">
        <v>103</v>
      </c>
      <c r="D131" s="8" t="n">
        <v>0</v>
      </c>
      <c r="E131" s="8" t="n">
        <v>1</v>
      </c>
      <c r="F131" s="8" t="n">
        <f aca="false">D131+E131</f>
        <v>1</v>
      </c>
      <c r="G131" s="23" t="n">
        <f aca="false">IF(F131=0,"n/a",D131/F131)</f>
        <v>0</v>
      </c>
    </row>
    <row r="132" customFormat="false" ht="15" hidden="false" customHeight="true" outlineLevel="0" collapsed="false">
      <c r="A132" s="7" t="s">
        <v>102</v>
      </c>
      <c r="B132" s="7" t="s">
        <v>414</v>
      </c>
      <c r="C132" s="7" t="s">
        <v>103</v>
      </c>
      <c r="D132" s="8" t="n">
        <v>1</v>
      </c>
      <c r="E132" s="8" t="n">
        <v>0</v>
      </c>
      <c r="F132" s="8" t="n">
        <f aca="false">D132+E132</f>
        <v>1</v>
      </c>
      <c r="G132" s="23" t="n">
        <f aca="false">IF(F132=0,"n/a",D132/F132)</f>
        <v>1</v>
      </c>
    </row>
    <row r="133" customFormat="false" ht="15" hidden="false" customHeight="true" outlineLevel="0" collapsed="false">
      <c r="A133" s="7" t="s">
        <v>102</v>
      </c>
      <c r="B133" s="7" t="s">
        <v>415</v>
      </c>
      <c r="C133" s="7" t="s">
        <v>103</v>
      </c>
      <c r="D133" s="8" t="n">
        <v>1</v>
      </c>
      <c r="E133" s="8" t="n">
        <v>0</v>
      </c>
      <c r="F133" s="8" t="n">
        <f aca="false">D133+E133</f>
        <v>1</v>
      </c>
      <c r="G133" s="23" t="n">
        <f aca="false">IF(F133=0,"n/a",D133/F133)</f>
        <v>1</v>
      </c>
    </row>
    <row r="134" customFormat="false" ht="15" hidden="false" customHeight="true" outlineLevel="0" collapsed="false">
      <c r="A134" s="7" t="s">
        <v>102</v>
      </c>
      <c r="B134" s="7" t="s">
        <v>416</v>
      </c>
      <c r="C134" s="7" t="s">
        <v>103</v>
      </c>
      <c r="D134" s="8" t="n">
        <v>0</v>
      </c>
      <c r="E134" s="8" t="n">
        <v>1</v>
      </c>
      <c r="F134" s="8" t="n">
        <f aca="false">D134+E134</f>
        <v>1</v>
      </c>
      <c r="G134" s="23" t="n">
        <f aca="false">IF(F134=0,"n/a",D134/F134)</f>
        <v>0</v>
      </c>
    </row>
    <row r="135" customFormat="false" ht="15" hidden="false" customHeight="true" outlineLevel="0" collapsed="false">
      <c r="A135" s="7" t="s">
        <v>102</v>
      </c>
      <c r="B135" s="7" t="s">
        <v>417</v>
      </c>
      <c r="C135" s="7" t="s">
        <v>103</v>
      </c>
      <c r="D135" s="8" t="n">
        <v>0</v>
      </c>
      <c r="E135" s="8" t="n">
        <v>1</v>
      </c>
      <c r="F135" s="8" t="n">
        <f aca="false">D135+E135</f>
        <v>1</v>
      </c>
      <c r="G135" s="23" t="n">
        <f aca="false">IF(F135=0,"n/a",D135/F135)</f>
        <v>0</v>
      </c>
    </row>
    <row r="136" customFormat="false" ht="15" hidden="false" customHeight="true" outlineLevel="0" collapsed="false">
      <c r="A136" s="7" t="s">
        <v>102</v>
      </c>
      <c r="B136" s="7" t="s">
        <v>418</v>
      </c>
      <c r="C136" s="7" t="s">
        <v>103</v>
      </c>
      <c r="D136" s="8" t="n">
        <v>1</v>
      </c>
      <c r="E136" s="8" t="n">
        <v>0</v>
      </c>
      <c r="F136" s="8" t="n">
        <f aca="false">D136+E136</f>
        <v>1</v>
      </c>
      <c r="G136" s="23" t="n">
        <f aca="false">IF(F136=0,"n/a",D136/F136)</f>
        <v>1</v>
      </c>
    </row>
    <row r="137" customFormat="false" ht="15" hidden="false" customHeight="true" outlineLevel="0" collapsed="false">
      <c r="A137" s="7" t="s">
        <v>102</v>
      </c>
      <c r="B137" s="7" t="s">
        <v>419</v>
      </c>
      <c r="C137" s="7" t="s">
        <v>103</v>
      </c>
      <c r="D137" s="8" t="n">
        <v>1</v>
      </c>
      <c r="E137" s="8" t="n">
        <v>0</v>
      </c>
      <c r="F137" s="8" t="n">
        <f aca="false">D137+E137</f>
        <v>1</v>
      </c>
      <c r="G137" s="23" t="n">
        <f aca="false">IF(F137=0,"n/a",D137/F137)</f>
        <v>1</v>
      </c>
    </row>
    <row r="138" customFormat="false" ht="15" hidden="false" customHeight="true" outlineLevel="0" collapsed="false">
      <c r="A138" s="7" t="s">
        <v>102</v>
      </c>
      <c r="B138" s="7" t="s">
        <v>420</v>
      </c>
      <c r="C138" s="7" t="s">
        <v>103</v>
      </c>
      <c r="D138" s="8" t="n">
        <v>1</v>
      </c>
      <c r="E138" s="8" t="n">
        <v>0</v>
      </c>
      <c r="F138" s="8" t="n">
        <f aca="false">D138+E138</f>
        <v>1</v>
      </c>
      <c r="G138" s="23" t="n">
        <f aca="false">IF(F138=0,"n/a",D138/F138)</f>
        <v>1</v>
      </c>
    </row>
    <row r="139" customFormat="false" ht="15" hidden="false" customHeight="true" outlineLevel="0" collapsed="false">
      <c r="A139" s="7" t="s">
        <v>102</v>
      </c>
      <c r="B139" s="7" t="s">
        <v>421</v>
      </c>
      <c r="C139" s="7" t="s">
        <v>103</v>
      </c>
      <c r="D139" s="8" t="n">
        <v>0</v>
      </c>
      <c r="E139" s="8" t="n">
        <v>1</v>
      </c>
      <c r="F139" s="8" t="n">
        <f aca="false">D139+E139</f>
        <v>1</v>
      </c>
      <c r="G139" s="23" t="n">
        <f aca="false">IF(F139=0,"n/a",D139/F139)</f>
        <v>0</v>
      </c>
    </row>
    <row r="140" customFormat="false" ht="15" hidden="false" customHeight="true" outlineLevel="0" collapsed="false">
      <c r="A140" s="7" t="s">
        <v>102</v>
      </c>
      <c r="B140" s="7" t="s">
        <v>422</v>
      </c>
      <c r="C140" s="7" t="s">
        <v>103</v>
      </c>
      <c r="D140" s="8" t="n">
        <v>0</v>
      </c>
      <c r="E140" s="8" t="n">
        <v>1</v>
      </c>
      <c r="F140" s="8" t="n">
        <f aca="false">D140+E140</f>
        <v>1</v>
      </c>
      <c r="G140" s="23" t="n">
        <f aca="false">IF(F140=0,"n/a",D140/F140)</f>
        <v>0</v>
      </c>
    </row>
    <row r="141" customFormat="false" ht="15" hidden="false" customHeight="true" outlineLevel="0" collapsed="false">
      <c r="A141" s="7" t="s">
        <v>102</v>
      </c>
      <c r="B141" s="7" t="s">
        <v>336</v>
      </c>
      <c r="C141" s="7" t="s">
        <v>103</v>
      </c>
      <c r="D141" s="8" t="n">
        <v>1</v>
      </c>
      <c r="E141" s="8" t="n">
        <v>0</v>
      </c>
      <c r="F141" s="8" t="n">
        <f aca="false">D141+E141</f>
        <v>1</v>
      </c>
      <c r="G141" s="23" t="n">
        <f aca="false">IF(F141=0,"n/a",D141/F141)</f>
        <v>1</v>
      </c>
    </row>
    <row r="142" customFormat="false" ht="15" hidden="false" customHeight="true" outlineLevel="0" collapsed="false">
      <c r="A142" s="7" t="s">
        <v>102</v>
      </c>
      <c r="B142" s="7" t="s">
        <v>423</v>
      </c>
      <c r="C142" s="7" t="s">
        <v>103</v>
      </c>
      <c r="D142" s="8" t="n">
        <v>0</v>
      </c>
      <c r="E142" s="8" t="n">
        <v>1</v>
      </c>
      <c r="F142" s="8" t="n">
        <f aca="false">D142+E142</f>
        <v>1</v>
      </c>
      <c r="G142" s="23" t="n">
        <f aca="false">IF(F142=0,"n/a",D142/F142)</f>
        <v>0</v>
      </c>
    </row>
    <row r="143" customFormat="false" ht="15" hidden="false" customHeight="true" outlineLevel="0" collapsed="false">
      <c r="A143" s="7" t="s">
        <v>102</v>
      </c>
      <c r="B143" s="7" t="s">
        <v>424</v>
      </c>
      <c r="C143" s="7" t="s">
        <v>103</v>
      </c>
      <c r="D143" s="8" t="n">
        <v>1</v>
      </c>
      <c r="E143" s="8" t="n">
        <v>0</v>
      </c>
      <c r="F143" s="8" t="n">
        <f aca="false">D143+E143</f>
        <v>1</v>
      </c>
      <c r="G143" s="23" t="n">
        <f aca="false">IF(F143=0,"n/a",D143/F143)</f>
        <v>1</v>
      </c>
    </row>
    <row r="144" customFormat="false" ht="15" hidden="false" customHeight="true" outlineLevel="0" collapsed="false">
      <c r="A144" s="7" t="s">
        <v>102</v>
      </c>
      <c r="B144" s="7" t="s">
        <v>425</v>
      </c>
      <c r="C144" s="7" t="s">
        <v>103</v>
      </c>
      <c r="D144" s="8" t="n">
        <v>1</v>
      </c>
      <c r="E144" s="8" t="n">
        <v>0</v>
      </c>
      <c r="F144" s="8" t="n">
        <f aca="false">D144+E144</f>
        <v>1</v>
      </c>
      <c r="G144" s="23" t="n">
        <f aca="false">IF(F144=0,"n/a",D144/F144)</f>
        <v>1</v>
      </c>
    </row>
    <row r="145" customFormat="false" ht="15" hidden="false" customHeight="true" outlineLevel="0" collapsed="false">
      <c r="A145" s="7" t="s">
        <v>102</v>
      </c>
      <c r="B145" s="7" t="s">
        <v>426</v>
      </c>
      <c r="C145" s="7" t="s">
        <v>103</v>
      </c>
      <c r="D145" s="8" t="n">
        <v>1</v>
      </c>
      <c r="E145" s="8" t="n">
        <v>0</v>
      </c>
      <c r="F145" s="8" t="n">
        <f aca="false">D145+E145</f>
        <v>1</v>
      </c>
      <c r="G145" s="23" t="n">
        <f aca="false">IF(F145=0,"n/a",D145/F145)</f>
        <v>1</v>
      </c>
    </row>
    <row r="146" customFormat="false" ht="15" hidden="false" customHeight="true" outlineLevel="0" collapsed="false">
      <c r="A146" s="7" t="s">
        <v>102</v>
      </c>
      <c r="B146" s="7" t="s">
        <v>427</v>
      </c>
      <c r="C146" s="7" t="s">
        <v>103</v>
      </c>
      <c r="D146" s="8" t="n">
        <v>1</v>
      </c>
      <c r="E146" s="8" t="n">
        <v>0</v>
      </c>
      <c r="F146" s="8" t="n">
        <f aca="false">D146+E146</f>
        <v>1</v>
      </c>
      <c r="G146" s="23" t="n">
        <f aca="false">IF(F146=0,"n/a",D146/F146)</f>
        <v>1</v>
      </c>
    </row>
    <row r="147" customFormat="false" ht="15" hidden="false" customHeight="true" outlineLevel="0" collapsed="false">
      <c r="A147" s="7" t="s">
        <v>102</v>
      </c>
      <c r="B147" s="7" t="s">
        <v>428</v>
      </c>
      <c r="C147" s="7" t="s">
        <v>103</v>
      </c>
      <c r="D147" s="8" t="n">
        <v>1</v>
      </c>
      <c r="E147" s="8" t="n">
        <v>0</v>
      </c>
      <c r="F147" s="8" t="n">
        <f aca="false">D147+E147</f>
        <v>1</v>
      </c>
      <c r="G147" s="23" t="n">
        <f aca="false">IF(F147=0,"n/a",D147/F147)</f>
        <v>1</v>
      </c>
    </row>
    <row r="148" customFormat="false" ht="15" hidden="false" customHeight="true" outlineLevel="0" collapsed="false">
      <c r="A148" s="7" t="s">
        <v>102</v>
      </c>
      <c r="B148" s="7" t="s">
        <v>429</v>
      </c>
      <c r="C148" s="7" t="s">
        <v>103</v>
      </c>
      <c r="D148" s="8" t="n">
        <v>1</v>
      </c>
      <c r="E148" s="8" t="n">
        <v>0</v>
      </c>
      <c r="F148" s="8" t="n">
        <f aca="false">D148+E148</f>
        <v>1</v>
      </c>
      <c r="G148" s="23" t="n">
        <f aca="false">IF(F148=0,"n/a",D148/F148)</f>
        <v>1</v>
      </c>
    </row>
    <row r="149" customFormat="false" ht="15" hidden="false" customHeight="true" outlineLevel="0" collapsed="false">
      <c r="A149" s="7" t="s">
        <v>102</v>
      </c>
      <c r="B149" s="7" t="s">
        <v>430</v>
      </c>
      <c r="C149" s="7" t="s">
        <v>103</v>
      </c>
      <c r="D149" s="8" t="n">
        <v>1</v>
      </c>
      <c r="E149" s="8" t="n">
        <v>0</v>
      </c>
      <c r="F149" s="8" t="n">
        <f aca="false">D149+E149</f>
        <v>1</v>
      </c>
      <c r="G149" s="23" t="n">
        <f aca="false">IF(F149=0,"n/a",D149/F149)</f>
        <v>1</v>
      </c>
    </row>
    <row r="150" customFormat="false" ht="15" hidden="false" customHeight="true" outlineLevel="0" collapsed="false">
      <c r="A150" s="7" t="s">
        <v>102</v>
      </c>
      <c r="B150" s="7" t="s">
        <v>431</v>
      </c>
      <c r="C150" s="7" t="s">
        <v>103</v>
      </c>
      <c r="D150" s="8" t="n">
        <v>0</v>
      </c>
      <c r="E150" s="8" t="n">
        <v>1</v>
      </c>
      <c r="F150" s="8" t="n">
        <f aca="false">D150+E150</f>
        <v>1</v>
      </c>
      <c r="G150" s="23" t="n">
        <f aca="false">IF(F150=0,"n/a",D150/F150)</f>
        <v>0</v>
      </c>
    </row>
    <row r="151" customFormat="false" ht="15" hidden="false" customHeight="true" outlineLevel="0" collapsed="false">
      <c r="A151" s="7" t="s">
        <v>102</v>
      </c>
      <c r="B151" s="7" t="s">
        <v>432</v>
      </c>
      <c r="C151" s="7" t="s">
        <v>103</v>
      </c>
      <c r="D151" s="8" t="n">
        <v>1</v>
      </c>
      <c r="E151" s="8" t="n">
        <v>0</v>
      </c>
      <c r="F151" s="8" t="n">
        <f aca="false">D151+E151</f>
        <v>1</v>
      </c>
      <c r="G151" s="23" t="n">
        <f aca="false">IF(F151=0,"n/a",D151/F151)</f>
        <v>1</v>
      </c>
    </row>
    <row r="152" customFormat="false" ht="15" hidden="false" customHeight="true" outlineLevel="0" collapsed="false">
      <c r="A152" s="7" t="s">
        <v>102</v>
      </c>
      <c r="B152" s="7" t="s">
        <v>433</v>
      </c>
      <c r="C152" s="7" t="s">
        <v>103</v>
      </c>
      <c r="D152" s="8" t="n">
        <v>1</v>
      </c>
      <c r="E152" s="8" t="n">
        <v>0</v>
      </c>
      <c r="F152" s="8" t="n">
        <f aca="false">D152+E152</f>
        <v>1</v>
      </c>
      <c r="G152" s="23" t="n">
        <f aca="false">IF(F152=0,"n/a",D152/F152)</f>
        <v>1</v>
      </c>
    </row>
    <row r="153" customFormat="false" ht="15" hidden="false" customHeight="true" outlineLevel="0" collapsed="false">
      <c r="A153" s="7" t="s">
        <v>102</v>
      </c>
      <c r="B153" s="7" t="s">
        <v>434</v>
      </c>
      <c r="C153" s="7" t="s">
        <v>103</v>
      </c>
      <c r="D153" s="8" t="n">
        <v>0</v>
      </c>
      <c r="E153" s="8" t="n">
        <v>1</v>
      </c>
      <c r="F153" s="8" t="n">
        <f aca="false">D153+E153</f>
        <v>1</v>
      </c>
      <c r="G153" s="23" t="n">
        <f aca="false">IF(F153=0,"n/a",D153/F153)</f>
        <v>0</v>
      </c>
    </row>
    <row r="154" customFormat="false" ht="15" hidden="false" customHeight="true" outlineLevel="0" collapsed="false">
      <c r="A154" s="7" t="s">
        <v>102</v>
      </c>
      <c r="B154" s="7" t="s">
        <v>435</v>
      </c>
      <c r="C154" s="7" t="s">
        <v>103</v>
      </c>
      <c r="D154" s="8" t="n">
        <v>0</v>
      </c>
      <c r="E154" s="8" t="n">
        <v>1</v>
      </c>
      <c r="F154" s="8" t="n">
        <f aca="false">D154+E154</f>
        <v>1</v>
      </c>
      <c r="G154" s="23" t="n">
        <f aca="false">IF(F154=0,"n/a",D154/F154)</f>
        <v>0</v>
      </c>
    </row>
    <row r="155" customFormat="false" ht="15" hidden="false" customHeight="true" outlineLevel="0" collapsed="false">
      <c r="A155" s="7" t="s">
        <v>102</v>
      </c>
      <c r="B155" s="7" t="s">
        <v>436</v>
      </c>
      <c r="C155" s="7" t="s">
        <v>103</v>
      </c>
      <c r="D155" s="8" t="n">
        <v>1</v>
      </c>
      <c r="E155" s="8" t="n">
        <v>0</v>
      </c>
      <c r="F155" s="8" t="n">
        <f aca="false">D155+E155</f>
        <v>1</v>
      </c>
      <c r="G155" s="23" t="n">
        <f aca="false">IF(F155=0,"n/a",D155/F155)</f>
        <v>1</v>
      </c>
    </row>
    <row r="156" customFormat="false" ht="15" hidden="false" customHeight="true" outlineLevel="0" collapsed="false">
      <c r="A156" s="7" t="s">
        <v>102</v>
      </c>
      <c r="B156" s="7" t="s">
        <v>437</v>
      </c>
      <c r="C156" s="7" t="s">
        <v>103</v>
      </c>
      <c r="D156" s="8" t="n">
        <v>1</v>
      </c>
      <c r="E156" s="8" t="n">
        <v>0</v>
      </c>
      <c r="F156" s="8" t="n">
        <f aca="false">D156+E156</f>
        <v>1</v>
      </c>
      <c r="G156" s="23" t="n">
        <f aca="false">IF(F156=0,"n/a",D156/F156)</f>
        <v>1</v>
      </c>
    </row>
    <row r="157" customFormat="false" ht="15" hidden="false" customHeight="true" outlineLevel="0" collapsed="false">
      <c r="A157" s="7" t="s">
        <v>102</v>
      </c>
      <c r="B157" s="7" t="s">
        <v>438</v>
      </c>
      <c r="C157" s="7" t="s">
        <v>103</v>
      </c>
      <c r="D157" s="8" t="n">
        <v>1</v>
      </c>
      <c r="E157" s="8" t="n">
        <v>0</v>
      </c>
      <c r="F157" s="8" t="n">
        <f aca="false">D157+E157</f>
        <v>1</v>
      </c>
      <c r="G157" s="23" t="n">
        <f aca="false">IF(F157=0,"n/a",D157/F157)</f>
        <v>1</v>
      </c>
    </row>
    <row r="158" customFormat="false" ht="15" hidden="false" customHeight="true" outlineLevel="0" collapsed="false">
      <c r="A158" s="7" t="s">
        <v>102</v>
      </c>
      <c r="B158" s="7" t="s">
        <v>439</v>
      </c>
      <c r="C158" s="7" t="s">
        <v>103</v>
      </c>
      <c r="D158" s="8" t="n">
        <v>0</v>
      </c>
      <c r="E158" s="8" t="n">
        <v>1</v>
      </c>
      <c r="F158" s="8" t="n">
        <f aca="false">D158+E158</f>
        <v>1</v>
      </c>
      <c r="G158" s="23" t="n">
        <f aca="false">IF(F158=0,"n/a",D158/F158)</f>
        <v>0</v>
      </c>
    </row>
    <row r="159" customFormat="false" ht="15" hidden="false" customHeight="true" outlineLevel="0" collapsed="false">
      <c r="A159" s="7" t="s">
        <v>102</v>
      </c>
      <c r="B159" s="7" t="s">
        <v>440</v>
      </c>
      <c r="C159" s="7" t="s">
        <v>103</v>
      </c>
      <c r="D159" s="8" t="n">
        <v>1</v>
      </c>
      <c r="E159" s="8" t="n">
        <v>0</v>
      </c>
      <c r="F159" s="8" t="n">
        <f aca="false">D159+E159</f>
        <v>1</v>
      </c>
      <c r="G159" s="23" t="n">
        <f aca="false">IF(F159=0,"n/a",D159/F159)</f>
        <v>1</v>
      </c>
    </row>
    <row r="160" customFormat="false" ht="15" hidden="false" customHeight="true" outlineLevel="0" collapsed="false">
      <c r="A160" s="7" t="s">
        <v>102</v>
      </c>
      <c r="B160" s="7" t="s">
        <v>441</v>
      </c>
      <c r="C160" s="7" t="s">
        <v>103</v>
      </c>
      <c r="D160" s="8" t="n">
        <v>1</v>
      </c>
      <c r="E160" s="8" t="n">
        <v>0</v>
      </c>
      <c r="F160" s="8" t="n">
        <f aca="false">D160+E160</f>
        <v>1</v>
      </c>
      <c r="G160" s="23" t="n">
        <f aca="false">IF(F160=0,"n/a",D160/F160)</f>
        <v>1</v>
      </c>
    </row>
    <row r="161" customFormat="false" ht="15" hidden="false" customHeight="true" outlineLevel="0" collapsed="false">
      <c r="A161" s="7" t="s">
        <v>102</v>
      </c>
      <c r="B161" s="7" t="s">
        <v>442</v>
      </c>
      <c r="C161" s="7" t="s">
        <v>103</v>
      </c>
      <c r="D161" s="8" t="n">
        <v>1</v>
      </c>
      <c r="E161" s="8" t="n">
        <v>0</v>
      </c>
      <c r="F161" s="8" t="n">
        <f aca="false">D161+E161</f>
        <v>1</v>
      </c>
      <c r="G161" s="23" t="n">
        <f aca="false">IF(F161=0,"n/a",D161/F161)</f>
        <v>1</v>
      </c>
    </row>
    <row r="162" customFormat="false" ht="15" hidden="false" customHeight="true" outlineLevel="0" collapsed="false">
      <c r="A162" s="7" t="s">
        <v>102</v>
      </c>
      <c r="B162" s="7" t="s">
        <v>443</v>
      </c>
      <c r="C162" s="7" t="s">
        <v>103</v>
      </c>
      <c r="D162" s="8" t="n">
        <v>1</v>
      </c>
      <c r="E162" s="8" t="n">
        <v>0</v>
      </c>
      <c r="F162" s="8" t="n">
        <f aca="false">D162+E162</f>
        <v>1</v>
      </c>
      <c r="G162" s="23" t="n">
        <f aca="false">IF(F162=0,"n/a",D162/F162)</f>
        <v>1</v>
      </c>
    </row>
    <row r="163" customFormat="false" ht="15" hidden="false" customHeight="true" outlineLevel="0" collapsed="false">
      <c r="A163" s="7" t="s">
        <v>102</v>
      </c>
      <c r="B163" s="7" t="s">
        <v>444</v>
      </c>
      <c r="C163" s="7" t="s">
        <v>103</v>
      </c>
      <c r="D163" s="8" t="n">
        <v>0</v>
      </c>
      <c r="E163" s="8" t="n">
        <v>1</v>
      </c>
      <c r="F163" s="8" t="n">
        <f aca="false">D163+E163</f>
        <v>1</v>
      </c>
      <c r="G163" s="23" t="n">
        <f aca="false">IF(F163=0,"n/a",D163/F163)</f>
        <v>0</v>
      </c>
    </row>
    <row r="164" customFormat="false" ht="15" hidden="false" customHeight="true" outlineLevel="0" collapsed="false">
      <c r="A164" s="7" t="s">
        <v>102</v>
      </c>
      <c r="B164" s="7" t="s">
        <v>445</v>
      </c>
      <c r="C164" s="7" t="s">
        <v>103</v>
      </c>
      <c r="D164" s="8" t="n">
        <v>1</v>
      </c>
      <c r="E164" s="8" t="n">
        <v>0</v>
      </c>
      <c r="F164" s="8" t="n">
        <f aca="false">D164+E164</f>
        <v>1</v>
      </c>
      <c r="G164" s="23" t="n">
        <f aca="false">IF(F164=0,"n/a",D164/F164)</f>
        <v>1</v>
      </c>
    </row>
    <row r="165" customFormat="false" ht="15" hidden="false" customHeight="true" outlineLevel="0" collapsed="false">
      <c r="A165" s="7" t="s">
        <v>102</v>
      </c>
      <c r="B165" s="7" t="s">
        <v>446</v>
      </c>
      <c r="C165" s="7" t="s">
        <v>103</v>
      </c>
      <c r="D165" s="8" t="n">
        <v>0</v>
      </c>
      <c r="E165" s="8" t="n">
        <v>1</v>
      </c>
      <c r="F165" s="8" t="n">
        <f aca="false">D165+E165</f>
        <v>1</v>
      </c>
      <c r="G165" s="23" t="n">
        <f aca="false">IF(F165=0,"n/a",D165/F165)</f>
        <v>0</v>
      </c>
    </row>
    <row r="166" customFormat="false" ht="15" hidden="false" customHeight="true" outlineLevel="0" collapsed="false">
      <c r="A166" s="7" t="s">
        <v>102</v>
      </c>
      <c r="B166" s="7" t="s">
        <v>447</v>
      </c>
      <c r="C166" s="7" t="s">
        <v>103</v>
      </c>
      <c r="D166" s="8" t="n">
        <v>0</v>
      </c>
      <c r="E166" s="8" t="n">
        <v>1</v>
      </c>
      <c r="F166" s="8" t="n">
        <f aca="false">D166+E166</f>
        <v>1</v>
      </c>
      <c r="G166" s="23" t="n">
        <f aca="false">IF(F166=0,"n/a",D166/F166)</f>
        <v>0</v>
      </c>
    </row>
    <row r="167" customFormat="false" ht="15" hidden="false" customHeight="true" outlineLevel="0" collapsed="false">
      <c r="A167" s="7" t="s">
        <v>102</v>
      </c>
      <c r="B167" s="7" t="s">
        <v>448</v>
      </c>
      <c r="C167" s="7" t="s">
        <v>103</v>
      </c>
      <c r="D167" s="8" t="n">
        <v>0</v>
      </c>
      <c r="E167" s="8" t="n">
        <v>1</v>
      </c>
      <c r="F167" s="8" t="n">
        <f aca="false">D167+E167</f>
        <v>1</v>
      </c>
      <c r="G167" s="23" t="n">
        <f aca="false">IF(F167=0,"n/a",D167/F167)</f>
        <v>0</v>
      </c>
    </row>
    <row r="168" customFormat="false" ht="15" hidden="false" customHeight="true" outlineLevel="0" collapsed="false">
      <c r="A168" s="7" t="s">
        <v>102</v>
      </c>
      <c r="B168" s="7" t="s">
        <v>449</v>
      </c>
      <c r="C168" s="7" t="s">
        <v>103</v>
      </c>
      <c r="D168" s="8" t="n">
        <v>1</v>
      </c>
      <c r="E168" s="8" t="n">
        <v>0</v>
      </c>
      <c r="F168" s="8" t="n">
        <f aca="false">D168+E168</f>
        <v>1</v>
      </c>
      <c r="G168" s="23" t="n">
        <f aca="false">IF(F168=0,"n/a",D168/F168)</f>
        <v>1</v>
      </c>
    </row>
    <row r="169" customFormat="false" ht="15" hidden="false" customHeight="true" outlineLevel="0" collapsed="false">
      <c r="A169" s="7" t="s">
        <v>102</v>
      </c>
      <c r="B169" s="7" t="s">
        <v>450</v>
      </c>
      <c r="C169" s="7" t="s">
        <v>103</v>
      </c>
      <c r="D169" s="8" t="n">
        <v>1</v>
      </c>
      <c r="E169" s="8" t="n">
        <v>0</v>
      </c>
      <c r="F169" s="8" t="n">
        <f aca="false">D169+E169</f>
        <v>1</v>
      </c>
      <c r="G169" s="23" t="n">
        <f aca="false">IF(F169=0,"n/a",D169/F169)</f>
        <v>1</v>
      </c>
    </row>
    <row r="170" customFormat="false" ht="15" hidden="false" customHeight="true" outlineLevel="0" collapsed="false">
      <c r="A170" s="7" t="s">
        <v>102</v>
      </c>
      <c r="B170" s="7" t="s">
        <v>451</v>
      </c>
      <c r="C170" s="7" t="s">
        <v>103</v>
      </c>
      <c r="D170" s="8" t="n">
        <v>0</v>
      </c>
      <c r="E170" s="8" t="n">
        <v>1</v>
      </c>
      <c r="F170" s="8" t="n">
        <f aca="false">D170+E170</f>
        <v>1</v>
      </c>
      <c r="G170" s="23" t="n">
        <f aca="false">IF(F170=0,"n/a",D170/F170)</f>
        <v>0</v>
      </c>
    </row>
    <row r="171" customFormat="false" ht="15" hidden="false" customHeight="true" outlineLevel="0" collapsed="false">
      <c r="A171" s="7" t="s">
        <v>102</v>
      </c>
      <c r="B171" s="7" t="s">
        <v>452</v>
      </c>
      <c r="C171" s="7" t="s">
        <v>103</v>
      </c>
      <c r="D171" s="8" t="n">
        <v>1</v>
      </c>
      <c r="E171" s="8" t="n">
        <v>0</v>
      </c>
      <c r="F171" s="8" t="n">
        <f aca="false">D171+E171</f>
        <v>1</v>
      </c>
      <c r="G171" s="23" t="n">
        <f aca="false">IF(F171=0,"n/a",D171/F171)</f>
        <v>1</v>
      </c>
    </row>
    <row r="172" customFormat="false" ht="15" hidden="false" customHeight="true" outlineLevel="0" collapsed="false">
      <c r="A172" s="7" t="s">
        <v>102</v>
      </c>
      <c r="B172" s="7" t="s">
        <v>453</v>
      </c>
      <c r="C172" s="7" t="s">
        <v>103</v>
      </c>
      <c r="D172" s="8" t="n">
        <v>0</v>
      </c>
      <c r="E172" s="8" t="n">
        <v>1</v>
      </c>
      <c r="F172" s="8" t="n">
        <f aca="false">D172+E172</f>
        <v>1</v>
      </c>
      <c r="G172" s="23" t="n">
        <f aca="false">IF(F172=0,"n/a",D172/F172)</f>
        <v>0</v>
      </c>
    </row>
    <row r="173" customFormat="false" ht="15" hidden="false" customHeight="true" outlineLevel="0" collapsed="false">
      <c r="A173" s="7" t="s">
        <v>102</v>
      </c>
      <c r="B173" s="7" t="s">
        <v>454</v>
      </c>
      <c r="C173" s="7" t="s">
        <v>103</v>
      </c>
      <c r="D173" s="8" t="n">
        <v>0</v>
      </c>
      <c r="E173" s="8" t="n">
        <v>1</v>
      </c>
      <c r="F173" s="8" t="n">
        <f aca="false">D173+E173</f>
        <v>1</v>
      </c>
      <c r="G173" s="23" t="n">
        <f aca="false">IF(F173=0,"n/a",D173/F173)</f>
        <v>0</v>
      </c>
    </row>
    <row r="174" customFormat="false" ht="15" hidden="false" customHeight="true" outlineLevel="0" collapsed="false">
      <c r="A174" s="7" t="s">
        <v>102</v>
      </c>
      <c r="B174" s="7" t="s">
        <v>455</v>
      </c>
      <c r="C174" s="7" t="s">
        <v>103</v>
      </c>
      <c r="D174" s="8" t="n">
        <v>1</v>
      </c>
      <c r="E174" s="8" t="n">
        <v>0</v>
      </c>
      <c r="F174" s="8" t="n">
        <f aca="false">D174+E174</f>
        <v>1</v>
      </c>
      <c r="G174" s="23" t="n">
        <f aca="false">IF(F174=0,"n/a",D174/F174)</f>
        <v>1</v>
      </c>
    </row>
    <row r="175" customFormat="false" ht="15" hidden="false" customHeight="true" outlineLevel="0" collapsed="false">
      <c r="A175" s="7" t="s">
        <v>102</v>
      </c>
      <c r="B175" s="7" t="s">
        <v>456</v>
      </c>
      <c r="C175" s="7" t="s">
        <v>103</v>
      </c>
      <c r="D175" s="8" t="n">
        <v>1</v>
      </c>
      <c r="E175" s="8" t="n">
        <v>0</v>
      </c>
      <c r="F175" s="8" t="n">
        <f aca="false">D175+E175</f>
        <v>1</v>
      </c>
      <c r="G175" s="23" t="n">
        <f aca="false">IF(F175=0,"n/a",D175/F175)</f>
        <v>1</v>
      </c>
    </row>
    <row r="176" customFormat="false" ht="15" hidden="false" customHeight="true" outlineLevel="0" collapsed="false">
      <c r="A176" s="7" t="s">
        <v>102</v>
      </c>
      <c r="B176" s="7" t="s">
        <v>457</v>
      </c>
      <c r="C176" s="7" t="s">
        <v>103</v>
      </c>
      <c r="D176" s="8" t="n">
        <v>0</v>
      </c>
      <c r="E176" s="8" t="n">
        <v>1</v>
      </c>
      <c r="F176" s="8" t="n">
        <f aca="false">D176+E176</f>
        <v>1</v>
      </c>
      <c r="G176" s="23" t="n">
        <f aca="false">IF(F176=0,"n/a",D176/F176)</f>
        <v>0</v>
      </c>
    </row>
    <row r="177" customFormat="false" ht="15" hidden="false" customHeight="true" outlineLevel="0" collapsed="false">
      <c r="A177" s="7" t="s">
        <v>102</v>
      </c>
      <c r="B177" s="7" t="s">
        <v>458</v>
      </c>
      <c r="C177" s="7" t="s">
        <v>103</v>
      </c>
      <c r="D177" s="8" t="n">
        <v>0</v>
      </c>
      <c r="E177" s="8" t="n">
        <v>1</v>
      </c>
      <c r="F177" s="8" t="n">
        <f aca="false">D177+E177</f>
        <v>1</v>
      </c>
      <c r="G177" s="23" t="n">
        <f aca="false">IF(F177=0,"n/a",D177/F177)</f>
        <v>0</v>
      </c>
    </row>
    <row r="178" customFormat="false" ht="15" hidden="false" customHeight="true" outlineLevel="0" collapsed="false">
      <c r="A178" s="7" t="s">
        <v>102</v>
      </c>
      <c r="B178" s="7" t="s">
        <v>459</v>
      </c>
      <c r="C178" s="7" t="s">
        <v>103</v>
      </c>
      <c r="D178" s="8" t="n">
        <v>0</v>
      </c>
      <c r="E178" s="8" t="n">
        <v>1</v>
      </c>
      <c r="F178" s="8" t="n">
        <f aca="false">D178+E178</f>
        <v>1</v>
      </c>
      <c r="G178" s="23" t="n">
        <f aca="false">IF(F178=0,"n/a",D178/F178)</f>
        <v>0</v>
      </c>
    </row>
    <row r="179" customFormat="false" ht="15" hidden="false" customHeight="true" outlineLevel="0" collapsed="false">
      <c r="A179" s="7" t="s">
        <v>102</v>
      </c>
      <c r="B179" s="7" t="s">
        <v>460</v>
      </c>
      <c r="C179" s="7" t="s">
        <v>103</v>
      </c>
      <c r="D179" s="8" t="n">
        <v>1</v>
      </c>
      <c r="E179" s="8" t="n">
        <v>0</v>
      </c>
      <c r="F179" s="8" t="n">
        <f aca="false">D179+E179</f>
        <v>1</v>
      </c>
      <c r="G179" s="23" t="n">
        <f aca="false">IF(F179=0,"n/a",D179/F179)</f>
        <v>1</v>
      </c>
    </row>
    <row r="180" customFormat="false" ht="15" hidden="false" customHeight="true" outlineLevel="0" collapsed="false">
      <c r="A180" s="7" t="s">
        <v>102</v>
      </c>
      <c r="B180" s="7" t="s">
        <v>461</v>
      </c>
      <c r="C180" s="7" t="s">
        <v>103</v>
      </c>
      <c r="D180" s="8" t="n">
        <v>0</v>
      </c>
      <c r="E180" s="8" t="n">
        <v>1</v>
      </c>
      <c r="F180" s="8" t="n">
        <f aca="false">D180+E180</f>
        <v>1</v>
      </c>
      <c r="G180" s="23" t="n">
        <f aca="false">IF(F180=0,"n/a",D180/F180)</f>
        <v>0</v>
      </c>
    </row>
    <row r="181" customFormat="false" ht="15" hidden="false" customHeight="true" outlineLevel="0" collapsed="false">
      <c r="A181" s="7" t="s">
        <v>102</v>
      </c>
      <c r="B181" s="7" t="s">
        <v>462</v>
      </c>
      <c r="C181" s="7" t="s">
        <v>103</v>
      </c>
      <c r="D181" s="8" t="n">
        <v>0</v>
      </c>
      <c r="E181" s="8" t="n">
        <v>1</v>
      </c>
      <c r="F181" s="8" t="n">
        <f aca="false">D181+E181</f>
        <v>1</v>
      </c>
      <c r="G181" s="23" t="n">
        <f aca="false">IF(F181=0,"n/a",D181/F181)</f>
        <v>0</v>
      </c>
    </row>
    <row r="182" customFormat="false" ht="15" hidden="false" customHeight="true" outlineLevel="0" collapsed="false">
      <c r="A182" s="7" t="s">
        <v>102</v>
      </c>
      <c r="B182" s="7" t="s">
        <v>463</v>
      </c>
      <c r="C182" s="7" t="s">
        <v>103</v>
      </c>
      <c r="D182" s="8" t="n">
        <v>0</v>
      </c>
      <c r="E182" s="8" t="n">
        <v>1</v>
      </c>
      <c r="F182" s="8" t="n">
        <f aca="false">D182+E182</f>
        <v>1</v>
      </c>
      <c r="G182" s="23" t="n">
        <f aca="false">IF(F182=0,"n/a",D182/F182)</f>
        <v>0</v>
      </c>
    </row>
    <row r="183" customFormat="false" ht="15" hidden="false" customHeight="true" outlineLevel="0" collapsed="false">
      <c r="A183" s="7" t="s">
        <v>104</v>
      </c>
      <c r="B183" s="7" t="s">
        <v>464</v>
      </c>
      <c r="C183" s="7" t="s">
        <v>105</v>
      </c>
      <c r="D183" s="8" t="n">
        <v>2</v>
      </c>
      <c r="E183" s="8" t="n">
        <v>9</v>
      </c>
      <c r="F183" s="8" t="n">
        <f aca="false">D183+E183</f>
        <v>11</v>
      </c>
      <c r="G183" s="23" t="n">
        <f aca="false">IF(F183=0,"n/a",D183/F183)</f>
        <v>0.181818181818182</v>
      </c>
    </row>
    <row r="184" customFormat="false" ht="15" hidden="false" customHeight="true" outlineLevel="0" collapsed="false">
      <c r="A184" s="7" t="s">
        <v>104</v>
      </c>
      <c r="B184" s="7" t="s">
        <v>465</v>
      </c>
      <c r="C184" s="7" t="s">
        <v>105</v>
      </c>
      <c r="D184" s="8" t="n">
        <v>0</v>
      </c>
      <c r="E184" s="8" t="n">
        <v>11</v>
      </c>
      <c r="F184" s="8" t="n">
        <f aca="false">D184+E184</f>
        <v>11</v>
      </c>
      <c r="G184" s="23" t="n">
        <f aca="false">IF(F184=0,"n/a",D184/F184)</f>
        <v>0</v>
      </c>
    </row>
    <row r="185" customFormat="false" ht="15" hidden="false" customHeight="true" outlineLevel="0" collapsed="false">
      <c r="A185" s="7" t="s">
        <v>104</v>
      </c>
      <c r="B185" s="7" t="s">
        <v>466</v>
      </c>
      <c r="C185" s="7" t="s">
        <v>105</v>
      </c>
      <c r="D185" s="8" t="n">
        <v>1</v>
      </c>
      <c r="E185" s="8" t="n">
        <v>8</v>
      </c>
      <c r="F185" s="8" t="n">
        <f aca="false">D185+E185</f>
        <v>9</v>
      </c>
      <c r="G185" s="23" t="n">
        <f aca="false">IF(F185=0,"n/a",D185/F185)</f>
        <v>0.111111111111111</v>
      </c>
    </row>
    <row r="186" customFormat="false" ht="15" hidden="false" customHeight="true" outlineLevel="0" collapsed="false">
      <c r="A186" s="7" t="s">
        <v>104</v>
      </c>
      <c r="B186" s="7" t="s">
        <v>467</v>
      </c>
      <c r="C186" s="7" t="s">
        <v>105</v>
      </c>
      <c r="D186" s="8" t="n">
        <v>0</v>
      </c>
      <c r="E186" s="8" t="n">
        <v>8</v>
      </c>
      <c r="F186" s="8" t="n">
        <f aca="false">D186+E186</f>
        <v>8</v>
      </c>
      <c r="G186" s="23" t="n">
        <f aca="false">IF(F186=0,"n/a",D186/F186)</f>
        <v>0</v>
      </c>
    </row>
    <row r="187" customFormat="false" ht="15" hidden="false" customHeight="true" outlineLevel="0" collapsed="false">
      <c r="A187" s="7" t="s">
        <v>104</v>
      </c>
      <c r="B187" s="7" t="s">
        <v>468</v>
      </c>
      <c r="C187" s="7" t="s">
        <v>105</v>
      </c>
      <c r="D187" s="8" t="n">
        <v>3</v>
      </c>
      <c r="E187" s="8" t="n">
        <v>3</v>
      </c>
      <c r="F187" s="8" t="n">
        <f aca="false">D187+E187</f>
        <v>6</v>
      </c>
      <c r="G187" s="23" t="n">
        <f aca="false">IF(F187=0,"n/a",D187/F187)</f>
        <v>0.5</v>
      </c>
    </row>
    <row r="188" customFormat="false" ht="15" hidden="false" customHeight="true" outlineLevel="0" collapsed="false">
      <c r="A188" s="7" t="s">
        <v>104</v>
      </c>
      <c r="B188" s="7" t="s">
        <v>469</v>
      </c>
      <c r="C188" s="7" t="s">
        <v>105</v>
      </c>
      <c r="D188" s="8" t="n">
        <v>6</v>
      </c>
      <c r="E188" s="8" t="n">
        <v>0</v>
      </c>
      <c r="F188" s="8" t="n">
        <f aca="false">D188+E188</f>
        <v>6</v>
      </c>
      <c r="G188" s="23" t="n">
        <f aca="false">IF(F188=0,"n/a",D188/F188)</f>
        <v>1</v>
      </c>
    </row>
    <row r="189" customFormat="false" ht="15" hidden="false" customHeight="true" outlineLevel="0" collapsed="false">
      <c r="A189" s="7" t="s">
        <v>104</v>
      </c>
      <c r="B189" s="7" t="s">
        <v>470</v>
      </c>
      <c r="C189" s="7" t="s">
        <v>105</v>
      </c>
      <c r="D189" s="8" t="n">
        <v>2</v>
      </c>
      <c r="E189" s="8" t="n">
        <v>2</v>
      </c>
      <c r="F189" s="8" t="n">
        <f aca="false">D189+E189</f>
        <v>4</v>
      </c>
      <c r="G189" s="23" t="n">
        <f aca="false">IF(F189=0,"n/a",D189/F189)</f>
        <v>0.5</v>
      </c>
    </row>
    <row r="190" customFormat="false" ht="15" hidden="false" customHeight="true" outlineLevel="0" collapsed="false">
      <c r="A190" s="7" t="s">
        <v>104</v>
      </c>
      <c r="B190" s="7" t="s">
        <v>471</v>
      </c>
      <c r="C190" s="7" t="s">
        <v>105</v>
      </c>
      <c r="D190" s="8" t="n">
        <v>0</v>
      </c>
      <c r="E190" s="8" t="n">
        <v>4</v>
      </c>
      <c r="F190" s="8" t="n">
        <f aca="false">D190+E190</f>
        <v>4</v>
      </c>
      <c r="G190" s="23" t="n">
        <f aca="false">IF(F190=0,"n/a",D190/F190)</f>
        <v>0</v>
      </c>
    </row>
    <row r="191" customFormat="false" ht="15" hidden="false" customHeight="true" outlineLevel="0" collapsed="false">
      <c r="A191" s="7" t="s">
        <v>104</v>
      </c>
      <c r="B191" s="7" t="s">
        <v>472</v>
      </c>
      <c r="C191" s="7" t="s">
        <v>105</v>
      </c>
      <c r="D191" s="8" t="n">
        <v>1</v>
      </c>
      <c r="E191" s="8" t="n">
        <v>2</v>
      </c>
      <c r="F191" s="8" t="n">
        <f aca="false">D191+E191</f>
        <v>3</v>
      </c>
      <c r="G191" s="23" t="n">
        <f aca="false">IF(F191=0,"n/a",D191/F191)</f>
        <v>0.333333333333333</v>
      </c>
    </row>
    <row r="192" customFormat="false" ht="15" hidden="false" customHeight="true" outlineLevel="0" collapsed="false">
      <c r="A192" s="7" t="s">
        <v>104</v>
      </c>
      <c r="B192" s="7" t="s">
        <v>473</v>
      </c>
      <c r="C192" s="7" t="s">
        <v>105</v>
      </c>
      <c r="D192" s="8" t="n">
        <v>1</v>
      </c>
      <c r="E192" s="8" t="n">
        <v>1</v>
      </c>
      <c r="F192" s="8" t="n">
        <f aca="false">D192+E192</f>
        <v>2</v>
      </c>
      <c r="G192" s="23" t="n">
        <f aca="false">IF(F192=0,"n/a",D192/F192)</f>
        <v>0.5</v>
      </c>
    </row>
    <row r="193" customFormat="false" ht="15" hidden="false" customHeight="true" outlineLevel="0" collapsed="false">
      <c r="A193" s="7" t="s">
        <v>104</v>
      </c>
      <c r="B193" s="7" t="s">
        <v>474</v>
      </c>
      <c r="C193" s="7" t="s">
        <v>105</v>
      </c>
      <c r="D193" s="8" t="n">
        <v>0</v>
      </c>
      <c r="E193" s="8" t="n">
        <v>2</v>
      </c>
      <c r="F193" s="8" t="n">
        <f aca="false">D193+E193</f>
        <v>2</v>
      </c>
      <c r="G193" s="23" t="n">
        <f aca="false">IF(F193=0,"n/a",D193/F193)</f>
        <v>0</v>
      </c>
    </row>
    <row r="194" customFormat="false" ht="15" hidden="false" customHeight="true" outlineLevel="0" collapsed="false">
      <c r="A194" s="7" t="s">
        <v>104</v>
      </c>
      <c r="B194" s="7" t="s">
        <v>475</v>
      </c>
      <c r="C194" s="7" t="s">
        <v>105</v>
      </c>
      <c r="D194" s="8" t="n">
        <v>2</v>
      </c>
      <c r="E194" s="8" t="n">
        <v>0</v>
      </c>
      <c r="F194" s="8" t="n">
        <f aca="false">D194+E194</f>
        <v>2</v>
      </c>
      <c r="G194" s="23" t="n">
        <f aca="false">IF(F194=0,"n/a",D194/F194)</f>
        <v>1</v>
      </c>
    </row>
    <row r="195" customFormat="false" ht="15" hidden="false" customHeight="true" outlineLevel="0" collapsed="false">
      <c r="A195" s="7" t="s">
        <v>104</v>
      </c>
      <c r="B195" s="7" t="s">
        <v>476</v>
      </c>
      <c r="C195" s="7" t="s">
        <v>105</v>
      </c>
      <c r="D195" s="8" t="n">
        <v>0</v>
      </c>
      <c r="E195" s="8" t="n">
        <v>2</v>
      </c>
      <c r="F195" s="8" t="n">
        <f aca="false">D195+E195</f>
        <v>2</v>
      </c>
      <c r="G195" s="23" t="n">
        <f aca="false">IF(F195=0,"n/a",D195/F195)</f>
        <v>0</v>
      </c>
    </row>
    <row r="196" customFormat="false" ht="15" hidden="false" customHeight="true" outlineLevel="0" collapsed="false">
      <c r="A196" s="7" t="s">
        <v>104</v>
      </c>
      <c r="B196" s="7" t="s">
        <v>477</v>
      </c>
      <c r="C196" s="7" t="s">
        <v>105</v>
      </c>
      <c r="D196" s="8" t="n">
        <v>1</v>
      </c>
      <c r="E196" s="8" t="n">
        <v>0</v>
      </c>
      <c r="F196" s="8" t="n">
        <f aca="false">D196+E196</f>
        <v>1</v>
      </c>
      <c r="G196" s="23" t="n">
        <f aca="false">IF(F196=0,"n/a",D196/F196)</f>
        <v>1</v>
      </c>
    </row>
    <row r="197" customFormat="false" ht="15" hidden="false" customHeight="true" outlineLevel="0" collapsed="false">
      <c r="A197" s="7" t="s">
        <v>104</v>
      </c>
      <c r="B197" s="7" t="s">
        <v>478</v>
      </c>
      <c r="C197" s="7" t="s">
        <v>105</v>
      </c>
      <c r="D197" s="8" t="n">
        <v>0</v>
      </c>
      <c r="E197" s="8" t="n">
        <v>1</v>
      </c>
      <c r="F197" s="8" t="n">
        <f aca="false">D197+E197</f>
        <v>1</v>
      </c>
      <c r="G197" s="23" t="n">
        <f aca="false">IF(F197=0,"n/a",D197/F197)</f>
        <v>0</v>
      </c>
    </row>
    <row r="198" customFormat="false" ht="15" hidden="false" customHeight="true" outlineLevel="0" collapsed="false">
      <c r="A198" s="7" t="s">
        <v>104</v>
      </c>
      <c r="B198" s="7" t="s">
        <v>479</v>
      </c>
      <c r="C198" s="7" t="s">
        <v>105</v>
      </c>
      <c r="D198" s="8" t="n">
        <v>1</v>
      </c>
      <c r="E198" s="8" t="n">
        <v>0</v>
      </c>
      <c r="F198" s="8" t="n">
        <f aca="false">D198+E198</f>
        <v>1</v>
      </c>
      <c r="G198" s="23" t="n">
        <f aca="false">IF(F198=0,"n/a",D198/F198)</f>
        <v>1</v>
      </c>
    </row>
    <row r="199" customFormat="false" ht="15" hidden="false" customHeight="true" outlineLevel="0" collapsed="false">
      <c r="A199" s="7" t="s">
        <v>104</v>
      </c>
      <c r="B199" s="7" t="s">
        <v>480</v>
      </c>
      <c r="C199" s="7" t="s">
        <v>105</v>
      </c>
      <c r="D199" s="8" t="n">
        <v>1</v>
      </c>
      <c r="E199" s="8" t="n">
        <v>0</v>
      </c>
      <c r="F199" s="8" t="n">
        <f aca="false">D199+E199</f>
        <v>1</v>
      </c>
      <c r="G199" s="23" t="n">
        <f aca="false">IF(F199=0,"n/a",D199/F199)</f>
        <v>1</v>
      </c>
    </row>
    <row r="200" customFormat="false" ht="15" hidden="false" customHeight="true" outlineLevel="0" collapsed="false">
      <c r="A200" s="7" t="s">
        <v>104</v>
      </c>
      <c r="B200" s="7" t="s">
        <v>481</v>
      </c>
      <c r="C200" s="7" t="s">
        <v>105</v>
      </c>
      <c r="D200" s="8" t="n">
        <v>1</v>
      </c>
      <c r="E200" s="8" t="n">
        <v>0</v>
      </c>
      <c r="F200" s="8" t="n">
        <f aca="false">D200+E200</f>
        <v>1</v>
      </c>
      <c r="G200" s="23" t="n">
        <f aca="false">IF(F200=0,"n/a",D200/F200)</f>
        <v>1</v>
      </c>
    </row>
    <row r="201" customFormat="false" ht="15" hidden="false" customHeight="true" outlineLevel="0" collapsed="false">
      <c r="A201" s="7" t="s">
        <v>104</v>
      </c>
      <c r="B201" s="7" t="s">
        <v>482</v>
      </c>
      <c r="C201" s="7" t="s">
        <v>105</v>
      </c>
      <c r="D201" s="8" t="n">
        <v>0</v>
      </c>
      <c r="E201" s="8" t="n">
        <v>1</v>
      </c>
      <c r="F201" s="8" t="n">
        <f aca="false">D201+E201</f>
        <v>1</v>
      </c>
      <c r="G201" s="23" t="n">
        <f aca="false">IF(F201=0,"n/a",D201/F201)</f>
        <v>0</v>
      </c>
    </row>
    <row r="202" customFormat="false" ht="15" hidden="false" customHeight="true" outlineLevel="0" collapsed="false">
      <c r="A202" s="7" t="s">
        <v>104</v>
      </c>
      <c r="B202" s="7" t="s">
        <v>483</v>
      </c>
      <c r="C202" s="7" t="s">
        <v>105</v>
      </c>
      <c r="D202" s="8" t="n">
        <v>0</v>
      </c>
      <c r="E202" s="8" t="n">
        <v>1</v>
      </c>
      <c r="F202" s="8" t="n">
        <f aca="false">D202+E202</f>
        <v>1</v>
      </c>
      <c r="G202" s="23" t="n">
        <f aca="false">IF(F202=0,"n/a",D202/F202)</f>
        <v>0</v>
      </c>
    </row>
    <row r="203" customFormat="false" ht="15" hidden="false" customHeight="true" outlineLevel="0" collapsed="false">
      <c r="A203" s="7" t="s">
        <v>104</v>
      </c>
      <c r="B203" s="7" t="s">
        <v>484</v>
      </c>
      <c r="C203" s="7" t="s">
        <v>105</v>
      </c>
      <c r="D203" s="8" t="n">
        <v>1</v>
      </c>
      <c r="E203" s="8" t="n">
        <v>0</v>
      </c>
      <c r="F203" s="8" t="n">
        <f aca="false">D203+E203</f>
        <v>1</v>
      </c>
      <c r="G203" s="23" t="n">
        <f aca="false">IF(F203=0,"n/a",D203/F203)</f>
        <v>1</v>
      </c>
    </row>
    <row r="204" customFormat="false" ht="15" hidden="false" customHeight="true" outlineLevel="0" collapsed="false">
      <c r="A204" s="7" t="s">
        <v>104</v>
      </c>
      <c r="B204" s="7" t="s">
        <v>485</v>
      </c>
      <c r="C204" s="7" t="s">
        <v>105</v>
      </c>
      <c r="D204" s="8" t="n">
        <v>1</v>
      </c>
      <c r="E204" s="8" t="n">
        <v>0</v>
      </c>
      <c r="F204" s="8" t="n">
        <f aca="false">D204+E204</f>
        <v>1</v>
      </c>
      <c r="G204" s="23" t="n">
        <f aca="false">IF(F204=0,"n/a",D204/F204)</f>
        <v>1</v>
      </c>
    </row>
    <row r="205" customFormat="false" ht="15" hidden="false" customHeight="true" outlineLevel="0" collapsed="false">
      <c r="A205" s="7" t="s">
        <v>104</v>
      </c>
      <c r="B205" s="7" t="s">
        <v>486</v>
      </c>
      <c r="C205" s="7" t="s">
        <v>105</v>
      </c>
      <c r="D205" s="8" t="n">
        <v>1</v>
      </c>
      <c r="E205" s="8" t="n">
        <v>0</v>
      </c>
      <c r="F205" s="8" t="n">
        <f aca="false">D205+E205</f>
        <v>1</v>
      </c>
      <c r="G205" s="23" t="n">
        <f aca="false">IF(F205=0,"n/a",D205/F205)</f>
        <v>1</v>
      </c>
    </row>
    <row r="206" customFormat="false" ht="15" hidden="false" customHeight="true" outlineLevel="0" collapsed="false">
      <c r="A206" s="7" t="s">
        <v>104</v>
      </c>
      <c r="B206" s="7" t="s">
        <v>487</v>
      </c>
      <c r="C206" s="7" t="s">
        <v>105</v>
      </c>
      <c r="D206" s="8" t="n">
        <v>0</v>
      </c>
      <c r="E206" s="8" t="n">
        <v>1</v>
      </c>
      <c r="F206" s="8" t="n">
        <f aca="false">D206+E206</f>
        <v>1</v>
      </c>
      <c r="G206" s="23" t="n">
        <f aca="false">IF(F206=0,"n/a",D206/F206)</f>
        <v>0</v>
      </c>
    </row>
    <row r="207" customFormat="false" ht="15" hidden="false" customHeight="true" outlineLevel="0" collapsed="false">
      <c r="A207" s="7" t="s">
        <v>104</v>
      </c>
      <c r="B207" s="7" t="s">
        <v>463</v>
      </c>
      <c r="C207" s="7" t="s">
        <v>105</v>
      </c>
      <c r="D207" s="8" t="n">
        <v>1</v>
      </c>
      <c r="E207" s="8" t="n">
        <v>0</v>
      </c>
      <c r="F207" s="8" t="n">
        <f aca="false">D207+E207</f>
        <v>1</v>
      </c>
      <c r="G207" s="23" t="n">
        <f aca="false">IF(F207=0,"n/a",D207/F207)</f>
        <v>1</v>
      </c>
    </row>
    <row r="208" customFormat="false" ht="15" hidden="false" customHeight="true" outlineLevel="0" collapsed="false">
      <c r="A208" s="7" t="s">
        <v>106</v>
      </c>
      <c r="B208" s="7" t="s">
        <v>488</v>
      </c>
      <c r="C208" s="7" t="s">
        <v>107</v>
      </c>
      <c r="D208" s="8" t="n">
        <v>1</v>
      </c>
      <c r="E208" s="8" t="n">
        <v>10</v>
      </c>
      <c r="F208" s="8" t="n">
        <f aca="false">D208+E208</f>
        <v>11</v>
      </c>
      <c r="G208" s="23" t="n">
        <f aca="false">IF(F208=0,"n/a",D208/F208)</f>
        <v>0.0909090909090909</v>
      </c>
    </row>
    <row r="209" customFormat="false" ht="15" hidden="false" customHeight="true" outlineLevel="0" collapsed="false">
      <c r="A209" s="7" t="s">
        <v>106</v>
      </c>
      <c r="B209" s="7" t="s">
        <v>489</v>
      </c>
      <c r="C209" s="7" t="s">
        <v>107</v>
      </c>
      <c r="D209" s="8" t="n">
        <v>0</v>
      </c>
      <c r="E209" s="8" t="n">
        <v>4</v>
      </c>
      <c r="F209" s="8" t="n">
        <f aca="false">D209+E209</f>
        <v>4</v>
      </c>
      <c r="G209" s="23" t="n">
        <f aca="false">IF(F209=0,"n/a",D209/F209)</f>
        <v>0</v>
      </c>
    </row>
    <row r="210" customFormat="false" ht="15" hidden="false" customHeight="true" outlineLevel="0" collapsed="false">
      <c r="A210" s="7" t="s">
        <v>106</v>
      </c>
      <c r="B210" s="7" t="s">
        <v>490</v>
      </c>
      <c r="C210" s="7" t="s">
        <v>107</v>
      </c>
      <c r="D210" s="8" t="n">
        <v>1</v>
      </c>
      <c r="E210" s="8" t="n">
        <v>3</v>
      </c>
      <c r="F210" s="8" t="n">
        <f aca="false">D210+E210</f>
        <v>4</v>
      </c>
      <c r="G210" s="23" t="n">
        <f aca="false">IF(F210=0,"n/a",D210/F210)</f>
        <v>0.25</v>
      </c>
    </row>
    <row r="211" customFormat="false" ht="15" hidden="false" customHeight="true" outlineLevel="0" collapsed="false">
      <c r="A211" s="7" t="s">
        <v>106</v>
      </c>
      <c r="B211" s="7" t="s">
        <v>491</v>
      </c>
      <c r="C211" s="7" t="s">
        <v>107</v>
      </c>
      <c r="D211" s="8" t="n">
        <v>0</v>
      </c>
      <c r="E211" s="8" t="n">
        <v>2</v>
      </c>
      <c r="F211" s="8" t="n">
        <f aca="false">D211+E211</f>
        <v>2</v>
      </c>
      <c r="G211" s="23" t="n">
        <f aca="false">IF(F211=0,"n/a",D211/F211)</f>
        <v>0</v>
      </c>
    </row>
    <row r="212" customFormat="false" ht="15" hidden="false" customHeight="true" outlineLevel="0" collapsed="false">
      <c r="A212" s="7" t="s">
        <v>106</v>
      </c>
      <c r="B212" s="7" t="s">
        <v>492</v>
      </c>
      <c r="C212" s="7" t="s">
        <v>107</v>
      </c>
      <c r="D212" s="8" t="n">
        <v>1</v>
      </c>
      <c r="E212" s="8" t="n">
        <v>1</v>
      </c>
      <c r="F212" s="8" t="n">
        <f aca="false">D212+E212</f>
        <v>2</v>
      </c>
      <c r="G212" s="23" t="n">
        <f aca="false">IF(F212=0,"n/a",D212/F212)</f>
        <v>0.5</v>
      </c>
    </row>
    <row r="213" customFormat="false" ht="15" hidden="false" customHeight="true" outlineLevel="0" collapsed="false">
      <c r="A213" s="7" t="s">
        <v>106</v>
      </c>
      <c r="B213" s="7" t="s">
        <v>493</v>
      </c>
      <c r="C213" s="7" t="s">
        <v>107</v>
      </c>
      <c r="D213" s="8" t="n">
        <v>1</v>
      </c>
      <c r="E213" s="8" t="n">
        <v>1</v>
      </c>
      <c r="F213" s="8" t="n">
        <f aca="false">D213+E213</f>
        <v>2</v>
      </c>
      <c r="G213" s="23" t="n">
        <f aca="false">IF(F213=0,"n/a",D213/F213)</f>
        <v>0.5</v>
      </c>
    </row>
    <row r="214" customFormat="false" ht="15" hidden="false" customHeight="true" outlineLevel="0" collapsed="false">
      <c r="A214" s="7" t="s">
        <v>106</v>
      </c>
      <c r="B214" s="7" t="s">
        <v>494</v>
      </c>
      <c r="C214" s="7" t="s">
        <v>107</v>
      </c>
      <c r="D214" s="8" t="n">
        <v>1</v>
      </c>
      <c r="E214" s="8" t="n">
        <v>0</v>
      </c>
      <c r="F214" s="8" t="n">
        <f aca="false">D214+E214</f>
        <v>1</v>
      </c>
      <c r="G214" s="23" t="n">
        <f aca="false">IF(F214=0,"n/a",D214/F214)</f>
        <v>1</v>
      </c>
    </row>
    <row r="215" customFormat="false" ht="15" hidden="false" customHeight="true" outlineLevel="0" collapsed="false">
      <c r="A215" s="7" t="s">
        <v>106</v>
      </c>
      <c r="B215" s="7" t="s">
        <v>495</v>
      </c>
      <c r="C215" s="7" t="s">
        <v>107</v>
      </c>
      <c r="D215" s="8" t="n">
        <v>1</v>
      </c>
      <c r="E215" s="8" t="n">
        <v>0</v>
      </c>
      <c r="F215" s="8" t="n">
        <f aca="false">D215+E215</f>
        <v>1</v>
      </c>
      <c r="G215" s="23" t="n">
        <f aca="false">IF(F215=0,"n/a",D215/F215)</f>
        <v>1</v>
      </c>
    </row>
    <row r="216" customFormat="false" ht="15" hidden="false" customHeight="true" outlineLevel="0" collapsed="false">
      <c r="A216" s="7" t="s">
        <v>106</v>
      </c>
      <c r="B216" s="7" t="s">
        <v>496</v>
      </c>
      <c r="C216" s="7" t="s">
        <v>107</v>
      </c>
      <c r="D216" s="8" t="n">
        <v>0</v>
      </c>
      <c r="E216" s="8" t="n">
        <v>1</v>
      </c>
      <c r="F216" s="8" t="n">
        <f aca="false">D216+E216</f>
        <v>1</v>
      </c>
      <c r="G216" s="23" t="n">
        <f aca="false">IF(F216=0,"n/a",D216/F216)</f>
        <v>0</v>
      </c>
    </row>
    <row r="217" customFormat="false" ht="15" hidden="false" customHeight="true" outlineLevel="0" collapsed="false">
      <c r="A217" s="7" t="s">
        <v>106</v>
      </c>
      <c r="B217" s="7" t="s">
        <v>497</v>
      </c>
      <c r="C217" s="7" t="s">
        <v>107</v>
      </c>
      <c r="D217" s="8" t="n">
        <v>1</v>
      </c>
      <c r="E217" s="8" t="n">
        <v>0</v>
      </c>
      <c r="F217" s="8" t="n">
        <f aca="false">D217+E217</f>
        <v>1</v>
      </c>
      <c r="G217" s="23" t="n">
        <f aca="false">IF(F217=0,"n/a",D217/F217)</f>
        <v>1</v>
      </c>
    </row>
    <row r="218" customFormat="false" ht="15" hidden="false" customHeight="true" outlineLevel="0" collapsed="false">
      <c r="A218" s="7" t="s">
        <v>106</v>
      </c>
      <c r="B218" s="7" t="s">
        <v>498</v>
      </c>
      <c r="C218" s="7" t="s">
        <v>107</v>
      </c>
      <c r="D218" s="8" t="n">
        <v>0</v>
      </c>
      <c r="E218" s="8" t="n">
        <v>1</v>
      </c>
      <c r="F218" s="8" t="n">
        <f aca="false">D218+E218</f>
        <v>1</v>
      </c>
      <c r="G218" s="23" t="n">
        <f aca="false">IF(F218=0,"n/a",D218/F218)</f>
        <v>0</v>
      </c>
    </row>
    <row r="219" customFormat="false" ht="15" hidden="false" customHeight="true" outlineLevel="0" collapsed="false">
      <c r="A219" s="7" t="s">
        <v>106</v>
      </c>
      <c r="B219" s="7" t="s">
        <v>499</v>
      </c>
      <c r="C219" s="7" t="s">
        <v>107</v>
      </c>
      <c r="D219" s="8" t="n">
        <v>1</v>
      </c>
      <c r="E219" s="8" t="n">
        <v>0</v>
      </c>
      <c r="F219" s="8" t="n">
        <f aca="false">D219+E219</f>
        <v>1</v>
      </c>
      <c r="G219" s="23" t="n">
        <f aca="false">IF(F219=0,"n/a",D219/F219)</f>
        <v>1</v>
      </c>
    </row>
    <row r="220" customFormat="false" ht="15" hidden="false" customHeight="true" outlineLevel="0" collapsed="false">
      <c r="A220" s="7" t="s">
        <v>106</v>
      </c>
      <c r="B220" s="7" t="s">
        <v>500</v>
      </c>
      <c r="C220" s="7" t="s">
        <v>107</v>
      </c>
      <c r="D220" s="8" t="n">
        <v>0</v>
      </c>
      <c r="E220" s="8" t="n">
        <v>1</v>
      </c>
      <c r="F220" s="8" t="n">
        <f aca="false">D220+E220</f>
        <v>1</v>
      </c>
      <c r="G220" s="23" t="n">
        <f aca="false">IF(F220=0,"n/a",D220/F220)</f>
        <v>0</v>
      </c>
    </row>
    <row r="221" customFormat="false" ht="15" hidden="false" customHeight="true" outlineLevel="0" collapsed="false">
      <c r="A221" s="7" t="s">
        <v>108</v>
      </c>
      <c r="B221" s="7" t="s">
        <v>501</v>
      </c>
      <c r="C221" s="7" t="s">
        <v>109</v>
      </c>
      <c r="D221" s="8" t="n">
        <v>1</v>
      </c>
      <c r="E221" s="8" t="n">
        <v>0</v>
      </c>
      <c r="F221" s="8" t="n">
        <f aca="false">D221+E221</f>
        <v>1</v>
      </c>
      <c r="G221" s="23" t="n">
        <f aca="false">IF(F221=0,"n/a",D221/F221)</f>
        <v>1</v>
      </c>
    </row>
    <row r="222" customFormat="false" ht="15" hidden="false" customHeight="true" outlineLevel="0" collapsed="false">
      <c r="A222" s="7" t="s">
        <v>110</v>
      </c>
      <c r="B222" s="7" t="s">
        <v>502</v>
      </c>
      <c r="C222" s="7" t="s">
        <v>109</v>
      </c>
      <c r="D222" s="8" t="n">
        <v>0</v>
      </c>
      <c r="E222" s="8" t="n">
        <v>1</v>
      </c>
      <c r="F222" s="8" t="n">
        <f aca="false">D222+E222</f>
        <v>1</v>
      </c>
      <c r="G222" s="23" t="n">
        <f aca="false">IF(F222=0,"n/a",D222/F222)</f>
        <v>0</v>
      </c>
    </row>
    <row r="223" customFormat="false" ht="15" hidden="false" customHeight="true" outlineLevel="0" collapsed="false">
      <c r="A223" s="7" t="s">
        <v>110</v>
      </c>
      <c r="B223" s="7" t="s">
        <v>503</v>
      </c>
      <c r="C223" s="7" t="s">
        <v>109</v>
      </c>
      <c r="D223" s="8" t="n">
        <v>1</v>
      </c>
      <c r="E223" s="8" t="n">
        <v>0</v>
      </c>
      <c r="F223" s="8" t="n">
        <f aca="false">D223+E223</f>
        <v>1</v>
      </c>
      <c r="G223" s="23" t="n">
        <f aca="false">IF(F223=0,"n/a",D223/F223)</f>
        <v>1</v>
      </c>
    </row>
    <row r="224" customFormat="false" ht="15" hidden="false" customHeight="true" outlineLevel="0" collapsed="false">
      <c r="A224" s="7" t="s">
        <v>111</v>
      </c>
      <c r="B224" s="7" t="s">
        <v>504</v>
      </c>
      <c r="C224" s="7" t="s">
        <v>112</v>
      </c>
      <c r="D224" s="8" t="n">
        <v>4</v>
      </c>
      <c r="E224" s="8" t="n">
        <v>33</v>
      </c>
      <c r="F224" s="8" t="n">
        <f aca="false">D224+E224</f>
        <v>37</v>
      </c>
      <c r="G224" s="23" t="n">
        <f aca="false">IF(F224=0,"n/a",D224/F224)</f>
        <v>0.108108108108108</v>
      </c>
    </row>
    <row r="225" customFormat="false" ht="15" hidden="false" customHeight="true" outlineLevel="0" collapsed="false">
      <c r="A225" s="7" t="s">
        <v>111</v>
      </c>
      <c r="B225" s="7" t="s">
        <v>505</v>
      </c>
      <c r="C225" s="7" t="s">
        <v>112</v>
      </c>
      <c r="D225" s="8" t="n">
        <v>0</v>
      </c>
      <c r="E225" s="8" t="n">
        <v>22</v>
      </c>
      <c r="F225" s="8" t="n">
        <f aca="false">D225+E225</f>
        <v>22</v>
      </c>
      <c r="G225" s="23" t="n">
        <f aca="false">IF(F225=0,"n/a",D225/F225)</f>
        <v>0</v>
      </c>
    </row>
    <row r="226" customFormat="false" ht="15" hidden="false" customHeight="true" outlineLevel="0" collapsed="false">
      <c r="A226" s="7" t="s">
        <v>111</v>
      </c>
      <c r="B226" s="7" t="s">
        <v>506</v>
      </c>
      <c r="C226" s="7" t="s">
        <v>112</v>
      </c>
      <c r="D226" s="8" t="n">
        <v>3</v>
      </c>
      <c r="E226" s="8" t="n">
        <v>14</v>
      </c>
      <c r="F226" s="8" t="n">
        <f aca="false">D226+E226</f>
        <v>17</v>
      </c>
      <c r="G226" s="23" t="n">
        <f aca="false">IF(F226=0,"n/a",D226/F226)</f>
        <v>0.176470588235294</v>
      </c>
    </row>
    <row r="227" customFormat="false" ht="15" hidden="false" customHeight="true" outlineLevel="0" collapsed="false">
      <c r="A227" s="7" t="s">
        <v>111</v>
      </c>
      <c r="B227" s="7" t="s">
        <v>507</v>
      </c>
      <c r="C227" s="7" t="s">
        <v>112</v>
      </c>
      <c r="D227" s="8" t="n">
        <v>5</v>
      </c>
      <c r="E227" s="8" t="n">
        <v>6</v>
      </c>
      <c r="F227" s="8" t="n">
        <f aca="false">D227+E227</f>
        <v>11</v>
      </c>
      <c r="G227" s="23" t="n">
        <f aca="false">IF(F227=0,"n/a",D227/F227)</f>
        <v>0.454545454545455</v>
      </c>
    </row>
    <row r="228" customFormat="false" ht="15" hidden="false" customHeight="true" outlineLevel="0" collapsed="false">
      <c r="A228" s="7" t="s">
        <v>111</v>
      </c>
      <c r="B228" s="7" t="s">
        <v>508</v>
      </c>
      <c r="C228" s="7" t="s">
        <v>112</v>
      </c>
      <c r="D228" s="8" t="n">
        <v>2</v>
      </c>
      <c r="E228" s="8" t="n">
        <v>4</v>
      </c>
      <c r="F228" s="8" t="n">
        <f aca="false">D228+E228</f>
        <v>6</v>
      </c>
      <c r="G228" s="23" t="n">
        <f aca="false">IF(F228=0,"n/a",D228/F228)</f>
        <v>0.333333333333333</v>
      </c>
    </row>
    <row r="229" customFormat="false" ht="15" hidden="false" customHeight="true" outlineLevel="0" collapsed="false">
      <c r="A229" s="7" t="s">
        <v>111</v>
      </c>
      <c r="B229" s="7" t="s">
        <v>509</v>
      </c>
      <c r="C229" s="7" t="s">
        <v>112</v>
      </c>
      <c r="D229" s="8" t="n">
        <v>1</v>
      </c>
      <c r="E229" s="8" t="n">
        <v>5</v>
      </c>
      <c r="F229" s="8" t="n">
        <f aca="false">D229+E229</f>
        <v>6</v>
      </c>
      <c r="G229" s="23" t="n">
        <f aca="false">IF(F229=0,"n/a",D229/F229)</f>
        <v>0.166666666666667</v>
      </c>
    </row>
    <row r="230" customFormat="false" ht="15" hidden="false" customHeight="true" outlineLevel="0" collapsed="false">
      <c r="A230" s="7" t="s">
        <v>111</v>
      </c>
      <c r="B230" s="7" t="s">
        <v>510</v>
      </c>
      <c r="C230" s="7" t="s">
        <v>112</v>
      </c>
      <c r="D230" s="8" t="n">
        <v>0</v>
      </c>
      <c r="E230" s="8" t="n">
        <v>5</v>
      </c>
      <c r="F230" s="8" t="n">
        <f aca="false">D230+E230</f>
        <v>5</v>
      </c>
      <c r="G230" s="23" t="n">
        <f aca="false">IF(F230=0,"n/a",D230/F230)</f>
        <v>0</v>
      </c>
    </row>
    <row r="231" customFormat="false" ht="15" hidden="false" customHeight="true" outlineLevel="0" collapsed="false">
      <c r="A231" s="7" t="s">
        <v>111</v>
      </c>
      <c r="B231" s="7" t="s">
        <v>511</v>
      </c>
      <c r="C231" s="7" t="s">
        <v>112</v>
      </c>
      <c r="D231" s="8" t="n">
        <v>1</v>
      </c>
      <c r="E231" s="8" t="n">
        <v>3</v>
      </c>
      <c r="F231" s="8" t="n">
        <f aca="false">D231+E231</f>
        <v>4</v>
      </c>
      <c r="G231" s="23" t="n">
        <f aca="false">IF(F231=0,"n/a",D231/F231)</f>
        <v>0.25</v>
      </c>
    </row>
    <row r="232" customFormat="false" ht="15" hidden="false" customHeight="true" outlineLevel="0" collapsed="false">
      <c r="A232" s="7" t="s">
        <v>111</v>
      </c>
      <c r="B232" s="7" t="s">
        <v>512</v>
      </c>
      <c r="C232" s="7" t="s">
        <v>112</v>
      </c>
      <c r="D232" s="8" t="n">
        <v>3</v>
      </c>
      <c r="E232" s="8" t="n">
        <v>0</v>
      </c>
      <c r="F232" s="8" t="n">
        <f aca="false">D232+E232</f>
        <v>3</v>
      </c>
      <c r="G232" s="23" t="n">
        <f aca="false">IF(F232=0,"n/a",D232/F232)</f>
        <v>1</v>
      </c>
    </row>
    <row r="233" customFormat="false" ht="15" hidden="false" customHeight="true" outlineLevel="0" collapsed="false">
      <c r="A233" s="7" t="s">
        <v>111</v>
      </c>
      <c r="B233" s="7" t="s">
        <v>513</v>
      </c>
      <c r="C233" s="7" t="s">
        <v>112</v>
      </c>
      <c r="D233" s="8" t="n">
        <v>0</v>
      </c>
      <c r="E233" s="8" t="n">
        <v>3</v>
      </c>
      <c r="F233" s="8" t="n">
        <f aca="false">D233+E233</f>
        <v>3</v>
      </c>
      <c r="G233" s="23" t="n">
        <f aca="false">IF(F233=0,"n/a",D233/F233)</f>
        <v>0</v>
      </c>
    </row>
    <row r="234" customFormat="false" ht="15" hidden="false" customHeight="true" outlineLevel="0" collapsed="false">
      <c r="A234" s="7" t="s">
        <v>111</v>
      </c>
      <c r="B234" s="7" t="s">
        <v>514</v>
      </c>
      <c r="C234" s="7" t="s">
        <v>112</v>
      </c>
      <c r="D234" s="8" t="n">
        <v>2</v>
      </c>
      <c r="E234" s="8" t="n">
        <v>1</v>
      </c>
      <c r="F234" s="8" t="n">
        <f aca="false">D234+E234</f>
        <v>3</v>
      </c>
      <c r="G234" s="23" t="n">
        <f aca="false">IF(F234=0,"n/a",D234/F234)</f>
        <v>0.666666666666667</v>
      </c>
    </row>
    <row r="235" customFormat="false" ht="15" hidden="false" customHeight="true" outlineLevel="0" collapsed="false">
      <c r="A235" s="7" t="s">
        <v>111</v>
      </c>
      <c r="B235" s="7" t="s">
        <v>515</v>
      </c>
      <c r="C235" s="7" t="s">
        <v>112</v>
      </c>
      <c r="D235" s="8" t="n">
        <v>1</v>
      </c>
      <c r="E235" s="8" t="n">
        <v>1</v>
      </c>
      <c r="F235" s="8" t="n">
        <f aca="false">D235+E235</f>
        <v>2</v>
      </c>
      <c r="G235" s="23" t="n">
        <f aca="false">IF(F235=0,"n/a",D235/F235)</f>
        <v>0.5</v>
      </c>
    </row>
    <row r="236" customFormat="false" ht="15" hidden="false" customHeight="true" outlineLevel="0" collapsed="false">
      <c r="A236" s="7" t="s">
        <v>111</v>
      </c>
      <c r="B236" s="7" t="s">
        <v>516</v>
      </c>
      <c r="C236" s="7" t="s">
        <v>112</v>
      </c>
      <c r="D236" s="8" t="n">
        <v>1</v>
      </c>
      <c r="E236" s="8" t="n">
        <v>1</v>
      </c>
      <c r="F236" s="8" t="n">
        <f aca="false">D236+E236</f>
        <v>2</v>
      </c>
      <c r="G236" s="23" t="n">
        <f aca="false">IF(F236=0,"n/a",D236/F236)</f>
        <v>0.5</v>
      </c>
    </row>
    <row r="237" customFormat="false" ht="15" hidden="false" customHeight="true" outlineLevel="0" collapsed="false">
      <c r="A237" s="7" t="s">
        <v>111</v>
      </c>
      <c r="B237" s="7" t="s">
        <v>517</v>
      </c>
      <c r="C237" s="7" t="s">
        <v>112</v>
      </c>
      <c r="D237" s="8" t="n">
        <v>2</v>
      </c>
      <c r="E237" s="8" t="n">
        <v>0</v>
      </c>
      <c r="F237" s="8" t="n">
        <f aca="false">D237+E237</f>
        <v>2</v>
      </c>
      <c r="G237" s="23" t="n">
        <f aca="false">IF(F237=0,"n/a",D237/F237)</f>
        <v>1</v>
      </c>
    </row>
    <row r="238" customFormat="false" ht="15" hidden="false" customHeight="true" outlineLevel="0" collapsed="false">
      <c r="A238" s="7" t="s">
        <v>111</v>
      </c>
      <c r="B238" s="7" t="s">
        <v>518</v>
      </c>
      <c r="C238" s="7" t="s">
        <v>112</v>
      </c>
      <c r="D238" s="8" t="n">
        <v>0</v>
      </c>
      <c r="E238" s="8" t="n">
        <v>2</v>
      </c>
      <c r="F238" s="8" t="n">
        <f aca="false">D238+E238</f>
        <v>2</v>
      </c>
      <c r="G238" s="23" t="n">
        <f aca="false">IF(F238=0,"n/a",D238/F238)</f>
        <v>0</v>
      </c>
    </row>
    <row r="239" customFormat="false" ht="15" hidden="false" customHeight="true" outlineLevel="0" collapsed="false">
      <c r="A239" s="7" t="s">
        <v>111</v>
      </c>
      <c r="B239" s="7" t="s">
        <v>519</v>
      </c>
      <c r="C239" s="7" t="s">
        <v>112</v>
      </c>
      <c r="D239" s="8" t="n">
        <v>2</v>
      </c>
      <c r="E239" s="8" t="n">
        <v>0</v>
      </c>
      <c r="F239" s="8" t="n">
        <f aca="false">D239+E239</f>
        <v>2</v>
      </c>
      <c r="G239" s="23" t="n">
        <f aca="false">IF(F239=0,"n/a",D239/F239)</f>
        <v>1</v>
      </c>
    </row>
    <row r="240" customFormat="false" ht="15" hidden="false" customHeight="true" outlineLevel="0" collapsed="false">
      <c r="A240" s="7" t="s">
        <v>111</v>
      </c>
      <c r="B240" s="7" t="s">
        <v>520</v>
      </c>
      <c r="C240" s="7" t="s">
        <v>112</v>
      </c>
      <c r="D240" s="8" t="n">
        <v>1</v>
      </c>
      <c r="E240" s="8" t="n">
        <v>1</v>
      </c>
      <c r="F240" s="8" t="n">
        <f aca="false">D240+E240</f>
        <v>2</v>
      </c>
      <c r="G240" s="23" t="n">
        <f aca="false">IF(F240=0,"n/a",D240/F240)</f>
        <v>0.5</v>
      </c>
    </row>
    <row r="241" customFormat="false" ht="15" hidden="false" customHeight="true" outlineLevel="0" collapsed="false">
      <c r="A241" s="7" t="s">
        <v>111</v>
      </c>
      <c r="B241" s="7" t="s">
        <v>521</v>
      </c>
      <c r="C241" s="7" t="s">
        <v>112</v>
      </c>
      <c r="D241" s="8" t="n">
        <v>0</v>
      </c>
      <c r="E241" s="8" t="n">
        <v>1</v>
      </c>
      <c r="F241" s="8" t="n">
        <f aca="false">D241+E241</f>
        <v>1</v>
      </c>
      <c r="G241" s="23" t="n">
        <f aca="false">IF(F241=0,"n/a",D241/F241)</f>
        <v>0</v>
      </c>
    </row>
    <row r="242" customFormat="false" ht="15" hidden="false" customHeight="true" outlineLevel="0" collapsed="false">
      <c r="A242" s="7" t="s">
        <v>111</v>
      </c>
      <c r="B242" s="7" t="s">
        <v>522</v>
      </c>
      <c r="C242" s="7" t="s">
        <v>112</v>
      </c>
      <c r="D242" s="8" t="n">
        <v>0</v>
      </c>
      <c r="E242" s="8" t="n">
        <v>1</v>
      </c>
      <c r="F242" s="8" t="n">
        <f aca="false">D242+E242</f>
        <v>1</v>
      </c>
      <c r="G242" s="23" t="n">
        <f aca="false">IF(F242=0,"n/a",D242/F242)</f>
        <v>0</v>
      </c>
    </row>
    <row r="243" customFormat="false" ht="15" hidden="false" customHeight="true" outlineLevel="0" collapsed="false">
      <c r="A243" s="7" t="s">
        <v>111</v>
      </c>
      <c r="B243" s="7" t="s">
        <v>523</v>
      </c>
      <c r="C243" s="7" t="s">
        <v>112</v>
      </c>
      <c r="D243" s="8" t="n">
        <v>1</v>
      </c>
      <c r="E243" s="8" t="n">
        <v>0</v>
      </c>
      <c r="F243" s="8" t="n">
        <f aca="false">D243+E243</f>
        <v>1</v>
      </c>
      <c r="G243" s="23" t="n">
        <f aca="false">IF(F243=0,"n/a",D243/F243)</f>
        <v>1</v>
      </c>
    </row>
    <row r="244" customFormat="false" ht="15" hidden="false" customHeight="true" outlineLevel="0" collapsed="false">
      <c r="A244" s="7" t="s">
        <v>111</v>
      </c>
      <c r="B244" s="7" t="s">
        <v>524</v>
      </c>
      <c r="C244" s="7" t="s">
        <v>112</v>
      </c>
      <c r="D244" s="8" t="n">
        <v>0</v>
      </c>
      <c r="E244" s="8" t="n">
        <v>1</v>
      </c>
      <c r="F244" s="8" t="n">
        <f aca="false">D244+E244</f>
        <v>1</v>
      </c>
      <c r="G244" s="23" t="n">
        <f aca="false">IF(F244=0,"n/a",D244/F244)</f>
        <v>0</v>
      </c>
    </row>
    <row r="245" customFormat="false" ht="15" hidden="false" customHeight="true" outlineLevel="0" collapsed="false">
      <c r="A245" s="7" t="s">
        <v>111</v>
      </c>
      <c r="B245" s="7" t="s">
        <v>525</v>
      </c>
      <c r="C245" s="7" t="s">
        <v>112</v>
      </c>
      <c r="D245" s="8" t="n">
        <v>0</v>
      </c>
      <c r="E245" s="8" t="n">
        <v>1</v>
      </c>
      <c r="F245" s="8" t="n">
        <f aca="false">D245+E245</f>
        <v>1</v>
      </c>
      <c r="G245" s="23" t="n">
        <f aca="false">IF(F245=0,"n/a",D245/F245)</f>
        <v>0</v>
      </c>
    </row>
    <row r="246" customFormat="false" ht="15" hidden="false" customHeight="true" outlineLevel="0" collapsed="false">
      <c r="A246" s="7" t="s">
        <v>111</v>
      </c>
      <c r="B246" s="7" t="s">
        <v>526</v>
      </c>
      <c r="C246" s="7" t="s">
        <v>112</v>
      </c>
      <c r="D246" s="8" t="n">
        <v>0</v>
      </c>
      <c r="E246" s="8" t="n">
        <v>1</v>
      </c>
      <c r="F246" s="8" t="n">
        <f aca="false">D246+E246</f>
        <v>1</v>
      </c>
      <c r="G246" s="23" t="n">
        <f aca="false">IF(F246=0,"n/a",D246/F246)</f>
        <v>0</v>
      </c>
    </row>
    <row r="247" customFormat="false" ht="15" hidden="false" customHeight="true" outlineLevel="0" collapsed="false">
      <c r="A247" s="7" t="s">
        <v>111</v>
      </c>
      <c r="B247" s="7" t="s">
        <v>527</v>
      </c>
      <c r="C247" s="7" t="s">
        <v>112</v>
      </c>
      <c r="D247" s="8" t="n">
        <v>0</v>
      </c>
      <c r="E247" s="8" t="n">
        <v>1</v>
      </c>
      <c r="F247" s="8" t="n">
        <f aca="false">D247+E247</f>
        <v>1</v>
      </c>
      <c r="G247" s="23" t="n">
        <f aca="false">IF(F247=0,"n/a",D247/F247)</f>
        <v>0</v>
      </c>
    </row>
    <row r="248" customFormat="false" ht="15" hidden="false" customHeight="true" outlineLevel="0" collapsed="false">
      <c r="A248" s="7" t="s">
        <v>111</v>
      </c>
      <c r="B248" s="7" t="s">
        <v>528</v>
      </c>
      <c r="C248" s="7" t="s">
        <v>112</v>
      </c>
      <c r="D248" s="8" t="n">
        <v>0</v>
      </c>
      <c r="E248" s="8" t="n">
        <v>1</v>
      </c>
      <c r="F248" s="8" t="n">
        <f aca="false">D248+E248</f>
        <v>1</v>
      </c>
      <c r="G248" s="23" t="n">
        <f aca="false">IF(F248=0,"n/a",D248/F248)</f>
        <v>0</v>
      </c>
    </row>
    <row r="249" customFormat="false" ht="15" hidden="false" customHeight="true" outlineLevel="0" collapsed="false">
      <c r="A249" s="7" t="s">
        <v>111</v>
      </c>
      <c r="B249" s="7" t="s">
        <v>529</v>
      </c>
      <c r="C249" s="7" t="s">
        <v>112</v>
      </c>
      <c r="D249" s="8" t="n">
        <v>1</v>
      </c>
      <c r="E249" s="8" t="n">
        <v>0</v>
      </c>
      <c r="F249" s="8" t="n">
        <f aca="false">D249+E249</f>
        <v>1</v>
      </c>
      <c r="G249" s="23" t="n">
        <f aca="false">IF(F249=0,"n/a",D249/F249)</f>
        <v>1</v>
      </c>
    </row>
    <row r="250" customFormat="false" ht="15" hidden="false" customHeight="true" outlineLevel="0" collapsed="false">
      <c r="A250" s="7" t="s">
        <v>111</v>
      </c>
      <c r="B250" s="7" t="s">
        <v>530</v>
      </c>
      <c r="C250" s="7" t="s">
        <v>112</v>
      </c>
      <c r="D250" s="8" t="n">
        <v>1</v>
      </c>
      <c r="E250" s="8" t="n">
        <v>0</v>
      </c>
      <c r="F250" s="8" t="n">
        <f aca="false">D250+E250</f>
        <v>1</v>
      </c>
      <c r="G250" s="23" t="n">
        <f aca="false">IF(F250=0,"n/a",D250/F250)</f>
        <v>1</v>
      </c>
    </row>
    <row r="251" customFormat="false" ht="15" hidden="false" customHeight="true" outlineLevel="0" collapsed="false">
      <c r="A251" s="7" t="s">
        <v>111</v>
      </c>
      <c r="B251" s="7" t="s">
        <v>531</v>
      </c>
      <c r="C251" s="7" t="s">
        <v>112</v>
      </c>
      <c r="D251" s="8" t="n">
        <v>0</v>
      </c>
      <c r="E251" s="8" t="n">
        <v>1</v>
      </c>
      <c r="F251" s="8" t="n">
        <f aca="false">D251+E251</f>
        <v>1</v>
      </c>
      <c r="G251" s="23" t="n">
        <f aca="false">IF(F251=0,"n/a",D251/F251)</f>
        <v>0</v>
      </c>
    </row>
    <row r="252" customFormat="false" ht="15" hidden="false" customHeight="true" outlineLevel="0" collapsed="false">
      <c r="A252" s="7" t="s">
        <v>111</v>
      </c>
      <c r="B252" s="7" t="s">
        <v>532</v>
      </c>
      <c r="C252" s="7" t="s">
        <v>112</v>
      </c>
      <c r="D252" s="8" t="n">
        <v>0</v>
      </c>
      <c r="E252" s="8" t="n">
        <v>1</v>
      </c>
      <c r="F252" s="8" t="n">
        <f aca="false">D252+E252</f>
        <v>1</v>
      </c>
      <c r="G252" s="23" t="n">
        <f aca="false">IF(F252=0,"n/a",D252/F252)</f>
        <v>0</v>
      </c>
    </row>
    <row r="253" customFormat="false" ht="15" hidden="false" customHeight="true" outlineLevel="0" collapsed="false">
      <c r="A253" s="7" t="s">
        <v>111</v>
      </c>
      <c r="B253" s="7" t="s">
        <v>533</v>
      </c>
      <c r="C253" s="7" t="s">
        <v>112</v>
      </c>
      <c r="D253" s="8" t="n">
        <v>0</v>
      </c>
      <c r="E253" s="8" t="n">
        <v>1</v>
      </c>
      <c r="F253" s="8" t="n">
        <f aca="false">D253+E253</f>
        <v>1</v>
      </c>
      <c r="G253" s="23" t="n">
        <f aca="false">IF(F253=0,"n/a",D253/F253)</f>
        <v>0</v>
      </c>
    </row>
    <row r="254" customFormat="false" ht="15" hidden="false" customHeight="true" outlineLevel="0" collapsed="false">
      <c r="A254" s="7" t="s">
        <v>111</v>
      </c>
      <c r="B254" s="7" t="s">
        <v>534</v>
      </c>
      <c r="C254" s="7" t="s">
        <v>112</v>
      </c>
      <c r="D254" s="8" t="n">
        <v>1</v>
      </c>
      <c r="E254" s="8" t="n">
        <v>0</v>
      </c>
      <c r="F254" s="8" t="n">
        <f aca="false">D254+E254</f>
        <v>1</v>
      </c>
      <c r="G254" s="23" t="n">
        <f aca="false">IF(F254=0,"n/a",D254/F254)</f>
        <v>1</v>
      </c>
    </row>
    <row r="255" customFormat="false" ht="15" hidden="false" customHeight="true" outlineLevel="0" collapsed="false">
      <c r="A255" s="7" t="s">
        <v>111</v>
      </c>
      <c r="B255" s="7" t="s">
        <v>535</v>
      </c>
      <c r="C255" s="7" t="s">
        <v>112</v>
      </c>
      <c r="D255" s="8" t="n">
        <v>0</v>
      </c>
      <c r="E255" s="8" t="n">
        <v>1</v>
      </c>
      <c r="F255" s="8" t="n">
        <f aca="false">D255+E255</f>
        <v>1</v>
      </c>
      <c r="G255" s="23" t="n">
        <f aca="false">IF(F255=0,"n/a",D255/F255)</f>
        <v>0</v>
      </c>
    </row>
    <row r="256" customFormat="false" ht="15" hidden="false" customHeight="true" outlineLevel="0" collapsed="false">
      <c r="A256" s="7" t="s">
        <v>111</v>
      </c>
      <c r="B256" s="7" t="s">
        <v>536</v>
      </c>
      <c r="C256" s="7" t="s">
        <v>112</v>
      </c>
      <c r="D256" s="8" t="n">
        <v>0</v>
      </c>
      <c r="E256" s="8" t="n">
        <v>1</v>
      </c>
      <c r="F256" s="8" t="n">
        <f aca="false">D256+E256</f>
        <v>1</v>
      </c>
      <c r="G256" s="23" t="n">
        <f aca="false">IF(F256=0,"n/a",D256/F256)</f>
        <v>0</v>
      </c>
    </row>
    <row r="257" customFormat="false" ht="15" hidden="false" customHeight="true" outlineLevel="0" collapsed="false">
      <c r="A257" s="7" t="s">
        <v>111</v>
      </c>
      <c r="B257" s="7" t="s">
        <v>537</v>
      </c>
      <c r="C257" s="7" t="s">
        <v>112</v>
      </c>
      <c r="D257" s="8" t="n">
        <v>0</v>
      </c>
      <c r="E257" s="8" t="n">
        <v>1</v>
      </c>
      <c r="F257" s="8" t="n">
        <f aca="false">D257+E257</f>
        <v>1</v>
      </c>
      <c r="G257" s="23" t="n">
        <f aca="false">IF(F257=0,"n/a",D257/F257)</f>
        <v>0</v>
      </c>
    </row>
    <row r="258" customFormat="false" ht="15" hidden="false" customHeight="true" outlineLevel="0" collapsed="false">
      <c r="A258" s="7" t="s">
        <v>111</v>
      </c>
      <c r="B258" s="7" t="s">
        <v>538</v>
      </c>
      <c r="C258" s="7" t="s">
        <v>112</v>
      </c>
      <c r="D258" s="8" t="n">
        <v>0</v>
      </c>
      <c r="E258" s="8" t="n">
        <v>1</v>
      </c>
      <c r="F258" s="8" t="n">
        <f aca="false">D258+E258</f>
        <v>1</v>
      </c>
      <c r="G258" s="23" t="n">
        <f aca="false">IF(F258=0,"n/a",D258/F258)</f>
        <v>0</v>
      </c>
    </row>
    <row r="259" customFormat="false" ht="15" hidden="false" customHeight="true" outlineLevel="0" collapsed="false">
      <c r="A259" s="7" t="s">
        <v>111</v>
      </c>
      <c r="B259" s="7" t="s">
        <v>539</v>
      </c>
      <c r="C259" s="7" t="s">
        <v>112</v>
      </c>
      <c r="D259" s="8" t="n">
        <v>0</v>
      </c>
      <c r="E259" s="8" t="n">
        <v>1</v>
      </c>
      <c r="F259" s="8" t="n">
        <f aca="false">D259+E259</f>
        <v>1</v>
      </c>
      <c r="G259" s="23" t="n">
        <f aca="false">IF(F259=0,"n/a",D259/F259)</f>
        <v>0</v>
      </c>
    </row>
    <row r="260" customFormat="false" ht="15" hidden="false" customHeight="true" outlineLevel="0" collapsed="false">
      <c r="A260" s="7" t="s">
        <v>111</v>
      </c>
      <c r="B260" s="7" t="s">
        <v>540</v>
      </c>
      <c r="C260" s="7" t="s">
        <v>112</v>
      </c>
      <c r="D260" s="8" t="n">
        <v>1</v>
      </c>
      <c r="E260" s="8" t="n">
        <v>0</v>
      </c>
      <c r="F260" s="8" t="n">
        <f aca="false">D260+E260</f>
        <v>1</v>
      </c>
      <c r="G260" s="23" t="n">
        <f aca="false">IF(F260=0,"n/a",D260/F260)</f>
        <v>1</v>
      </c>
    </row>
    <row r="261" customFormat="false" ht="15" hidden="false" customHeight="true" outlineLevel="0" collapsed="false">
      <c r="A261" s="7" t="s">
        <v>111</v>
      </c>
      <c r="B261" s="7" t="s">
        <v>541</v>
      </c>
      <c r="C261" s="7" t="s">
        <v>112</v>
      </c>
      <c r="D261" s="8" t="n">
        <v>1</v>
      </c>
      <c r="E261" s="8" t="n">
        <v>0</v>
      </c>
      <c r="F261" s="8" t="n">
        <f aca="false">D261+E261</f>
        <v>1</v>
      </c>
      <c r="G261" s="23" t="n">
        <f aca="false">IF(F261=0,"n/a",D261/F261)</f>
        <v>1</v>
      </c>
    </row>
    <row r="262" customFormat="false" ht="15" hidden="false" customHeight="true" outlineLevel="0" collapsed="false">
      <c r="A262" s="7" t="s">
        <v>111</v>
      </c>
      <c r="B262" s="7" t="s">
        <v>542</v>
      </c>
      <c r="C262" s="7" t="s">
        <v>112</v>
      </c>
      <c r="D262" s="8" t="n">
        <v>0</v>
      </c>
      <c r="E262" s="8" t="n">
        <v>1</v>
      </c>
      <c r="F262" s="8" t="n">
        <f aca="false">D262+E262</f>
        <v>1</v>
      </c>
      <c r="G262" s="23" t="n">
        <f aca="false">IF(F262=0,"n/a",D262/F262)</f>
        <v>0</v>
      </c>
    </row>
    <row r="263" customFormat="false" ht="15" hidden="false" customHeight="true" outlineLevel="0" collapsed="false">
      <c r="A263" s="7" t="s">
        <v>111</v>
      </c>
      <c r="B263" s="7" t="s">
        <v>543</v>
      </c>
      <c r="C263" s="7" t="s">
        <v>112</v>
      </c>
      <c r="D263" s="8" t="n">
        <v>1</v>
      </c>
      <c r="E263" s="8" t="n">
        <v>0</v>
      </c>
      <c r="F263" s="8" t="n">
        <f aca="false">D263+E263</f>
        <v>1</v>
      </c>
      <c r="G263" s="23" t="n">
        <f aca="false">IF(F263=0,"n/a",D263/F263)</f>
        <v>1</v>
      </c>
    </row>
    <row r="264" customFormat="false" ht="15" hidden="false" customHeight="true" outlineLevel="0" collapsed="false">
      <c r="A264" s="7" t="s">
        <v>111</v>
      </c>
      <c r="B264" s="7" t="s">
        <v>544</v>
      </c>
      <c r="C264" s="7" t="s">
        <v>112</v>
      </c>
      <c r="D264" s="8" t="n">
        <v>1</v>
      </c>
      <c r="E264" s="8" t="n">
        <v>0</v>
      </c>
      <c r="F264" s="8" t="n">
        <f aca="false">D264+E264</f>
        <v>1</v>
      </c>
      <c r="G264" s="23" t="n">
        <f aca="false">IF(F264=0,"n/a",D264/F264)</f>
        <v>1</v>
      </c>
    </row>
    <row r="265" customFormat="false" ht="15" hidden="false" customHeight="true" outlineLevel="0" collapsed="false">
      <c r="A265" s="7" t="s">
        <v>111</v>
      </c>
      <c r="B265" s="7" t="s">
        <v>545</v>
      </c>
      <c r="C265" s="7" t="s">
        <v>112</v>
      </c>
      <c r="D265" s="8" t="n">
        <v>1</v>
      </c>
      <c r="E265" s="8" t="n">
        <v>0</v>
      </c>
      <c r="F265" s="8" t="n">
        <f aca="false">D265+E265</f>
        <v>1</v>
      </c>
      <c r="G265" s="23" t="n">
        <f aca="false">IF(F265=0,"n/a",D265/F265)</f>
        <v>1</v>
      </c>
    </row>
    <row r="266" customFormat="false" ht="15" hidden="false" customHeight="true" outlineLevel="0" collapsed="false">
      <c r="A266" s="7" t="s">
        <v>111</v>
      </c>
      <c r="B266" s="7" t="s">
        <v>546</v>
      </c>
      <c r="C266" s="7" t="s">
        <v>112</v>
      </c>
      <c r="D266" s="8" t="n">
        <v>0</v>
      </c>
      <c r="E266" s="8" t="n">
        <v>1</v>
      </c>
      <c r="F266" s="8" t="n">
        <f aca="false">D266+E266</f>
        <v>1</v>
      </c>
      <c r="G266" s="23" t="n">
        <f aca="false">IF(F266=0,"n/a",D266/F266)</f>
        <v>0</v>
      </c>
    </row>
    <row r="267" customFormat="false" ht="15" hidden="false" customHeight="true" outlineLevel="0" collapsed="false">
      <c r="A267" s="7" t="s">
        <v>111</v>
      </c>
      <c r="B267" s="7" t="s">
        <v>547</v>
      </c>
      <c r="C267" s="7" t="s">
        <v>112</v>
      </c>
      <c r="D267" s="8" t="n">
        <v>0</v>
      </c>
      <c r="E267" s="8" t="n">
        <v>1</v>
      </c>
      <c r="F267" s="8" t="n">
        <f aca="false">D267+E267</f>
        <v>1</v>
      </c>
      <c r="G267" s="23" t="n">
        <f aca="false">IF(F267=0,"n/a",D267/F267)</f>
        <v>0</v>
      </c>
    </row>
    <row r="268" customFormat="false" ht="15" hidden="false" customHeight="true" outlineLevel="0" collapsed="false">
      <c r="A268" s="7" t="s">
        <v>111</v>
      </c>
      <c r="B268" s="7" t="s">
        <v>548</v>
      </c>
      <c r="C268" s="7" t="s">
        <v>112</v>
      </c>
      <c r="D268" s="8" t="n">
        <v>1</v>
      </c>
      <c r="E268" s="8" t="n">
        <v>0</v>
      </c>
      <c r="F268" s="8" t="n">
        <f aca="false">D268+E268</f>
        <v>1</v>
      </c>
      <c r="G268" s="23" t="n">
        <f aca="false">IF(F268=0,"n/a",D268/F268)</f>
        <v>1</v>
      </c>
    </row>
    <row r="269" customFormat="false" ht="15" hidden="false" customHeight="true" outlineLevel="0" collapsed="false">
      <c r="A269" s="7" t="s">
        <v>111</v>
      </c>
      <c r="B269" s="7" t="s">
        <v>549</v>
      </c>
      <c r="C269" s="7" t="s">
        <v>112</v>
      </c>
      <c r="D269" s="8" t="n">
        <v>0</v>
      </c>
      <c r="E269" s="8" t="n">
        <v>1</v>
      </c>
      <c r="F269" s="8" t="n">
        <f aca="false">D269+E269</f>
        <v>1</v>
      </c>
      <c r="G269" s="23" t="n">
        <f aca="false">IF(F269=0,"n/a",D269/F269)</f>
        <v>0</v>
      </c>
    </row>
    <row r="270" customFormat="false" ht="15" hidden="false" customHeight="true" outlineLevel="0" collapsed="false">
      <c r="A270" s="7" t="s">
        <v>111</v>
      </c>
      <c r="B270" s="7" t="s">
        <v>550</v>
      </c>
      <c r="C270" s="7" t="s">
        <v>112</v>
      </c>
      <c r="D270" s="8" t="n">
        <v>1</v>
      </c>
      <c r="E270" s="8" t="n">
        <v>0</v>
      </c>
      <c r="F270" s="8" t="n">
        <f aca="false">D270+E270</f>
        <v>1</v>
      </c>
      <c r="G270" s="23" t="n">
        <f aca="false">IF(F270=0,"n/a",D270/F270)</f>
        <v>1</v>
      </c>
    </row>
    <row r="271" customFormat="false" ht="15" hidden="false" customHeight="true" outlineLevel="0" collapsed="false">
      <c r="A271" s="7" t="s">
        <v>113</v>
      </c>
      <c r="B271" s="7" t="s">
        <v>551</v>
      </c>
      <c r="C271" s="7" t="s">
        <v>114</v>
      </c>
      <c r="D271" s="8" t="n">
        <v>1</v>
      </c>
      <c r="E271" s="8" t="n">
        <v>29</v>
      </c>
      <c r="F271" s="8" t="n">
        <f aca="false">D271+E271</f>
        <v>30</v>
      </c>
      <c r="G271" s="23" t="n">
        <f aca="false">IF(F271=0,"n/a",D271/F271)</f>
        <v>0.0333333333333333</v>
      </c>
    </row>
    <row r="272" customFormat="false" ht="15" hidden="false" customHeight="true" outlineLevel="0" collapsed="false">
      <c r="A272" s="7" t="s">
        <v>113</v>
      </c>
      <c r="B272" s="7" t="s">
        <v>552</v>
      </c>
      <c r="C272" s="7" t="s">
        <v>114</v>
      </c>
      <c r="D272" s="8" t="n">
        <v>0</v>
      </c>
      <c r="E272" s="8" t="n">
        <v>15</v>
      </c>
      <c r="F272" s="8" t="n">
        <f aca="false">D272+E272</f>
        <v>15</v>
      </c>
      <c r="G272" s="23" t="n">
        <f aca="false">IF(F272=0,"n/a",D272/F272)</f>
        <v>0</v>
      </c>
    </row>
    <row r="273" customFormat="false" ht="15" hidden="false" customHeight="true" outlineLevel="0" collapsed="false">
      <c r="A273" s="7" t="s">
        <v>113</v>
      </c>
      <c r="B273" s="7" t="s">
        <v>528</v>
      </c>
      <c r="C273" s="7" t="s">
        <v>114</v>
      </c>
      <c r="D273" s="8" t="n">
        <v>0</v>
      </c>
      <c r="E273" s="8" t="n">
        <v>15</v>
      </c>
      <c r="F273" s="8" t="n">
        <f aca="false">D273+E273</f>
        <v>15</v>
      </c>
      <c r="G273" s="23" t="n">
        <f aca="false">IF(F273=0,"n/a",D273/F273)</f>
        <v>0</v>
      </c>
    </row>
    <row r="274" customFormat="false" ht="15" hidden="false" customHeight="true" outlineLevel="0" collapsed="false">
      <c r="A274" s="7" t="s">
        <v>113</v>
      </c>
      <c r="B274" s="7" t="s">
        <v>553</v>
      </c>
      <c r="C274" s="7" t="s">
        <v>114</v>
      </c>
      <c r="D274" s="8" t="n">
        <v>6</v>
      </c>
      <c r="E274" s="8" t="n">
        <v>6</v>
      </c>
      <c r="F274" s="8" t="n">
        <f aca="false">D274+E274</f>
        <v>12</v>
      </c>
      <c r="G274" s="23" t="n">
        <f aca="false">IF(F274=0,"n/a",D274/F274)</f>
        <v>0.5</v>
      </c>
    </row>
    <row r="275" customFormat="false" ht="15" hidden="false" customHeight="true" outlineLevel="0" collapsed="false">
      <c r="A275" s="7" t="s">
        <v>113</v>
      </c>
      <c r="B275" s="7" t="s">
        <v>306</v>
      </c>
      <c r="C275" s="7" t="s">
        <v>114</v>
      </c>
      <c r="D275" s="8" t="n">
        <v>2</v>
      </c>
      <c r="E275" s="8" t="n">
        <v>9</v>
      </c>
      <c r="F275" s="8" t="n">
        <f aca="false">D275+E275</f>
        <v>11</v>
      </c>
      <c r="G275" s="23" t="n">
        <f aca="false">IF(F275=0,"n/a",D275/F275)</f>
        <v>0.181818181818182</v>
      </c>
    </row>
    <row r="276" customFormat="false" ht="15" hidden="false" customHeight="true" outlineLevel="0" collapsed="false">
      <c r="A276" s="7" t="s">
        <v>113</v>
      </c>
      <c r="B276" s="7" t="s">
        <v>554</v>
      </c>
      <c r="C276" s="7" t="s">
        <v>114</v>
      </c>
      <c r="D276" s="8" t="n">
        <v>0</v>
      </c>
      <c r="E276" s="8" t="n">
        <v>9</v>
      </c>
      <c r="F276" s="8" t="n">
        <f aca="false">D276+E276</f>
        <v>9</v>
      </c>
      <c r="G276" s="23" t="n">
        <f aca="false">IF(F276=0,"n/a",D276/F276)</f>
        <v>0</v>
      </c>
    </row>
    <row r="277" customFormat="false" ht="15" hidden="false" customHeight="true" outlineLevel="0" collapsed="false">
      <c r="A277" s="7" t="s">
        <v>113</v>
      </c>
      <c r="B277" s="7" t="s">
        <v>315</v>
      </c>
      <c r="C277" s="7" t="s">
        <v>114</v>
      </c>
      <c r="D277" s="8" t="n">
        <v>0</v>
      </c>
      <c r="E277" s="8" t="n">
        <v>8</v>
      </c>
      <c r="F277" s="8" t="n">
        <f aca="false">D277+E277</f>
        <v>8</v>
      </c>
      <c r="G277" s="23" t="n">
        <f aca="false">IF(F277=0,"n/a",D277/F277)</f>
        <v>0</v>
      </c>
    </row>
    <row r="278" customFormat="false" ht="15" hidden="false" customHeight="true" outlineLevel="0" collapsed="false">
      <c r="A278" s="7" t="s">
        <v>113</v>
      </c>
      <c r="B278" s="7" t="s">
        <v>555</v>
      </c>
      <c r="C278" s="7" t="s">
        <v>114</v>
      </c>
      <c r="D278" s="8" t="n">
        <v>0</v>
      </c>
      <c r="E278" s="8" t="n">
        <v>6</v>
      </c>
      <c r="F278" s="8" t="n">
        <f aca="false">D278+E278</f>
        <v>6</v>
      </c>
      <c r="G278" s="23" t="n">
        <f aca="false">IF(F278=0,"n/a",D278/F278)</f>
        <v>0</v>
      </c>
    </row>
    <row r="279" customFormat="false" ht="15" hidden="false" customHeight="true" outlineLevel="0" collapsed="false">
      <c r="A279" s="7" t="s">
        <v>113</v>
      </c>
      <c r="B279" s="7" t="s">
        <v>556</v>
      </c>
      <c r="C279" s="7" t="s">
        <v>114</v>
      </c>
      <c r="D279" s="8" t="n">
        <v>0</v>
      </c>
      <c r="E279" s="8" t="n">
        <v>5</v>
      </c>
      <c r="F279" s="8" t="n">
        <f aca="false">D279+E279</f>
        <v>5</v>
      </c>
      <c r="G279" s="23" t="n">
        <f aca="false">IF(F279=0,"n/a",D279/F279)</f>
        <v>0</v>
      </c>
    </row>
    <row r="280" customFormat="false" ht="15" hidden="false" customHeight="true" outlineLevel="0" collapsed="false">
      <c r="A280" s="7" t="s">
        <v>113</v>
      </c>
      <c r="B280" s="7" t="s">
        <v>557</v>
      </c>
      <c r="C280" s="7" t="s">
        <v>114</v>
      </c>
      <c r="D280" s="8" t="n">
        <v>0</v>
      </c>
      <c r="E280" s="8" t="n">
        <v>5</v>
      </c>
      <c r="F280" s="8" t="n">
        <f aca="false">D280+E280</f>
        <v>5</v>
      </c>
      <c r="G280" s="23" t="n">
        <f aca="false">IF(F280=0,"n/a",D280/F280)</f>
        <v>0</v>
      </c>
    </row>
    <row r="281" customFormat="false" ht="15" hidden="false" customHeight="true" outlineLevel="0" collapsed="false">
      <c r="A281" s="7" t="s">
        <v>113</v>
      </c>
      <c r="B281" s="7" t="s">
        <v>558</v>
      </c>
      <c r="C281" s="7" t="s">
        <v>114</v>
      </c>
      <c r="D281" s="8" t="n">
        <v>0</v>
      </c>
      <c r="E281" s="8" t="n">
        <v>5</v>
      </c>
      <c r="F281" s="8" t="n">
        <f aca="false">D281+E281</f>
        <v>5</v>
      </c>
      <c r="G281" s="23" t="n">
        <f aca="false">IF(F281=0,"n/a",D281/F281)</f>
        <v>0</v>
      </c>
    </row>
    <row r="282" customFormat="false" ht="15" hidden="false" customHeight="true" outlineLevel="0" collapsed="false">
      <c r="A282" s="7" t="s">
        <v>113</v>
      </c>
      <c r="B282" s="7" t="s">
        <v>559</v>
      </c>
      <c r="C282" s="7" t="s">
        <v>114</v>
      </c>
      <c r="D282" s="8" t="n">
        <v>0</v>
      </c>
      <c r="E282" s="8" t="n">
        <v>5</v>
      </c>
      <c r="F282" s="8" t="n">
        <f aca="false">D282+E282</f>
        <v>5</v>
      </c>
      <c r="G282" s="23" t="n">
        <f aca="false">IF(F282=0,"n/a",D282/F282)</f>
        <v>0</v>
      </c>
    </row>
    <row r="283" customFormat="false" ht="15" hidden="false" customHeight="true" outlineLevel="0" collapsed="false">
      <c r="A283" s="7" t="s">
        <v>113</v>
      </c>
      <c r="B283" s="7" t="s">
        <v>560</v>
      </c>
      <c r="C283" s="7" t="s">
        <v>114</v>
      </c>
      <c r="D283" s="8" t="n">
        <v>0</v>
      </c>
      <c r="E283" s="8" t="n">
        <v>4</v>
      </c>
      <c r="F283" s="8" t="n">
        <f aca="false">D283+E283</f>
        <v>4</v>
      </c>
      <c r="G283" s="23" t="n">
        <f aca="false">IF(F283=0,"n/a",D283/F283)</f>
        <v>0</v>
      </c>
    </row>
    <row r="284" customFormat="false" ht="15" hidden="false" customHeight="true" outlineLevel="0" collapsed="false">
      <c r="A284" s="7" t="s">
        <v>113</v>
      </c>
      <c r="B284" s="7" t="s">
        <v>561</v>
      </c>
      <c r="C284" s="7" t="s">
        <v>114</v>
      </c>
      <c r="D284" s="8" t="n">
        <v>3</v>
      </c>
      <c r="E284" s="8" t="n">
        <v>1</v>
      </c>
      <c r="F284" s="8" t="n">
        <f aca="false">D284+E284</f>
        <v>4</v>
      </c>
      <c r="G284" s="23" t="n">
        <f aca="false">IF(F284=0,"n/a",D284/F284)</f>
        <v>0.75</v>
      </c>
    </row>
    <row r="285" customFormat="false" ht="15" hidden="false" customHeight="true" outlineLevel="0" collapsed="false">
      <c r="A285" s="7" t="s">
        <v>113</v>
      </c>
      <c r="B285" s="7" t="s">
        <v>562</v>
      </c>
      <c r="C285" s="7" t="s">
        <v>114</v>
      </c>
      <c r="D285" s="8" t="n">
        <v>0</v>
      </c>
      <c r="E285" s="8" t="n">
        <v>4</v>
      </c>
      <c r="F285" s="8" t="n">
        <f aca="false">D285+E285</f>
        <v>4</v>
      </c>
      <c r="G285" s="23" t="n">
        <f aca="false">IF(F285=0,"n/a",D285/F285)</f>
        <v>0</v>
      </c>
    </row>
    <row r="286" customFormat="false" ht="15" hidden="false" customHeight="true" outlineLevel="0" collapsed="false">
      <c r="A286" s="7" t="s">
        <v>113</v>
      </c>
      <c r="B286" s="7" t="s">
        <v>563</v>
      </c>
      <c r="C286" s="7" t="s">
        <v>114</v>
      </c>
      <c r="D286" s="8" t="n">
        <v>0</v>
      </c>
      <c r="E286" s="8" t="n">
        <v>3</v>
      </c>
      <c r="F286" s="8" t="n">
        <f aca="false">D286+E286</f>
        <v>3</v>
      </c>
      <c r="G286" s="23" t="n">
        <f aca="false">IF(F286=0,"n/a",D286/F286)</f>
        <v>0</v>
      </c>
    </row>
    <row r="287" customFormat="false" ht="15" hidden="false" customHeight="true" outlineLevel="0" collapsed="false">
      <c r="A287" s="7" t="s">
        <v>113</v>
      </c>
      <c r="B287" s="7" t="s">
        <v>564</v>
      </c>
      <c r="C287" s="7" t="s">
        <v>114</v>
      </c>
      <c r="D287" s="8" t="n">
        <v>0</v>
      </c>
      <c r="E287" s="8" t="n">
        <v>3</v>
      </c>
      <c r="F287" s="8" t="n">
        <f aca="false">D287+E287</f>
        <v>3</v>
      </c>
      <c r="G287" s="23" t="n">
        <f aca="false">IF(F287=0,"n/a",D287/F287)</f>
        <v>0</v>
      </c>
    </row>
    <row r="288" customFormat="false" ht="15" hidden="false" customHeight="true" outlineLevel="0" collapsed="false">
      <c r="A288" s="7" t="s">
        <v>113</v>
      </c>
      <c r="B288" s="7" t="s">
        <v>565</v>
      </c>
      <c r="C288" s="7" t="s">
        <v>114</v>
      </c>
      <c r="D288" s="8" t="n">
        <v>0</v>
      </c>
      <c r="E288" s="8" t="n">
        <v>2</v>
      </c>
      <c r="F288" s="8" t="n">
        <f aca="false">D288+E288</f>
        <v>2</v>
      </c>
      <c r="G288" s="23" t="n">
        <f aca="false">IF(F288=0,"n/a",D288/F288)</f>
        <v>0</v>
      </c>
    </row>
    <row r="289" customFormat="false" ht="15" hidden="false" customHeight="true" outlineLevel="0" collapsed="false">
      <c r="A289" s="7" t="s">
        <v>113</v>
      </c>
      <c r="B289" s="7" t="s">
        <v>566</v>
      </c>
      <c r="C289" s="7" t="s">
        <v>114</v>
      </c>
      <c r="D289" s="8" t="n">
        <v>2</v>
      </c>
      <c r="E289" s="8" t="n">
        <v>0</v>
      </c>
      <c r="F289" s="8" t="n">
        <f aca="false">D289+E289</f>
        <v>2</v>
      </c>
      <c r="G289" s="23" t="n">
        <f aca="false">IF(F289=0,"n/a",D289/F289)</f>
        <v>1</v>
      </c>
    </row>
    <row r="290" customFormat="false" ht="15" hidden="false" customHeight="true" outlineLevel="0" collapsed="false">
      <c r="A290" s="7" t="s">
        <v>113</v>
      </c>
      <c r="B290" s="7" t="s">
        <v>567</v>
      </c>
      <c r="C290" s="7" t="s">
        <v>114</v>
      </c>
      <c r="D290" s="8" t="n">
        <v>0</v>
      </c>
      <c r="E290" s="8" t="n">
        <v>2</v>
      </c>
      <c r="F290" s="8" t="n">
        <f aca="false">D290+E290</f>
        <v>2</v>
      </c>
      <c r="G290" s="23" t="n">
        <f aca="false">IF(F290=0,"n/a",D290/F290)</f>
        <v>0</v>
      </c>
    </row>
    <row r="291" customFormat="false" ht="15" hidden="false" customHeight="true" outlineLevel="0" collapsed="false">
      <c r="A291" s="7" t="s">
        <v>113</v>
      </c>
      <c r="B291" s="7" t="s">
        <v>568</v>
      </c>
      <c r="C291" s="7" t="s">
        <v>114</v>
      </c>
      <c r="D291" s="8" t="n">
        <v>0</v>
      </c>
      <c r="E291" s="8" t="n">
        <v>2</v>
      </c>
      <c r="F291" s="8" t="n">
        <f aca="false">D291+E291</f>
        <v>2</v>
      </c>
      <c r="G291" s="23" t="n">
        <f aca="false">IF(F291=0,"n/a",D291/F291)</f>
        <v>0</v>
      </c>
    </row>
    <row r="292" customFormat="false" ht="15" hidden="false" customHeight="true" outlineLevel="0" collapsed="false">
      <c r="A292" s="7" t="s">
        <v>113</v>
      </c>
      <c r="B292" s="7" t="s">
        <v>569</v>
      </c>
      <c r="C292" s="7" t="s">
        <v>114</v>
      </c>
      <c r="D292" s="8" t="n">
        <v>0</v>
      </c>
      <c r="E292" s="8" t="n">
        <v>2</v>
      </c>
      <c r="F292" s="8" t="n">
        <f aca="false">D292+E292</f>
        <v>2</v>
      </c>
      <c r="G292" s="23" t="n">
        <f aca="false">IF(F292=0,"n/a",D292/F292)</f>
        <v>0</v>
      </c>
    </row>
    <row r="293" customFormat="false" ht="15" hidden="false" customHeight="true" outlineLevel="0" collapsed="false">
      <c r="A293" s="7" t="s">
        <v>113</v>
      </c>
      <c r="B293" s="7" t="s">
        <v>570</v>
      </c>
      <c r="C293" s="7" t="s">
        <v>114</v>
      </c>
      <c r="D293" s="8" t="n">
        <v>2</v>
      </c>
      <c r="E293" s="8" t="n">
        <v>0</v>
      </c>
      <c r="F293" s="8" t="n">
        <f aca="false">D293+E293</f>
        <v>2</v>
      </c>
      <c r="G293" s="23" t="n">
        <f aca="false">IF(F293=0,"n/a",D293/F293)</f>
        <v>1</v>
      </c>
    </row>
    <row r="294" customFormat="false" ht="15" hidden="false" customHeight="true" outlineLevel="0" collapsed="false">
      <c r="A294" s="7" t="s">
        <v>113</v>
      </c>
      <c r="B294" s="7" t="s">
        <v>571</v>
      </c>
      <c r="C294" s="7" t="s">
        <v>114</v>
      </c>
      <c r="D294" s="8" t="n">
        <v>0</v>
      </c>
      <c r="E294" s="8" t="n">
        <v>2</v>
      </c>
      <c r="F294" s="8" t="n">
        <f aca="false">D294+E294</f>
        <v>2</v>
      </c>
      <c r="G294" s="23" t="n">
        <f aca="false">IF(F294=0,"n/a",D294/F294)</f>
        <v>0</v>
      </c>
    </row>
    <row r="295" customFormat="false" ht="15" hidden="false" customHeight="true" outlineLevel="0" collapsed="false">
      <c r="A295" s="7" t="s">
        <v>113</v>
      </c>
      <c r="B295" s="7" t="s">
        <v>572</v>
      </c>
      <c r="C295" s="7" t="s">
        <v>114</v>
      </c>
      <c r="D295" s="8" t="n">
        <v>1</v>
      </c>
      <c r="E295" s="8" t="n">
        <v>1</v>
      </c>
      <c r="F295" s="8" t="n">
        <f aca="false">D295+E295</f>
        <v>2</v>
      </c>
      <c r="G295" s="23" t="n">
        <f aca="false">IF(F295=0,"n/a",D295/F295)</f>
        <v>0.5</v>
      </c>
    </row>
    <row r="296" customFormat="false" ht="15" hidden="false" customHeight="true" outlineLevel="0" collapsed="false">
      <c r="A296" s="7" t="s">
        <v>113</v>
      </c>
      <c r="B296" s="7" t="s">
        <v>573</v>
      </c>
      <c r="C296" s="7" t="s">
        <v>114</v>
      </c>
      <c r="D296" s="8" t="n">
        <v>0</v>
      </c>
      <c r="E296" s="8" t="n">
        <v>2</v>
      </c>
      <c r="F296" s="8" t="n">
        <f aca="false">D296+E296</f>
        <v>2</v>
      </c>
      <c r="G296" s="23" t="n">
        <f aca="false">IF(F296=0,"n/a",D296/F296)</f>
        <v>0</v>
      </c>
    </row>
    <row r="297" customFormat="false" ht="15" hidden="false" customHeight="true" outlineLevel="0" collapsed="false">
      <c r="A297" s="7" t="s">
        <v>113</v>
      </c>
      <c r="B297" s="7" t="s">
        <v>574</v>
      </c>
      <c r="C297" s="7" t="s">
        <v>114</v>
      </c>
      <c r="D297" s="8" t="n">
        <v>0</v>
      </c>
      <c r="E297" s="8" t="n">
        <v>2</v>
      </c>
      <c r="F297" s="8" t="n">
        <f aca="false">D297+E297</f>
        <v>2</v>
      </c>
      <c r="G297" s="23" t="n">
        <f aca="false">IF(F297=0,"n/a",D297/F297)</f>
        <v>0</v>
      </c>
    </row>
    <row r="298" customFormat="false" ht="15" hidden="false" customHeight="true" outlineLevel="0" collapsed="false">
      <c r="A298" s="7" t="s">
        <v>113</v>
      </c>
      <c r="B298" s="7" t="s">
        <v>575</v>
      </c>
      <c r="C298" s="7" t="s">
        <v>114</v>
      </c>
      <c r="D298" s="8" t="n">
        <v>0</v>
      </c>
      <c r="E298" s="8" t="n">
        <v>1</v>
      </c>
      <c r="F298" s="8" t="n">
        <f aca="false">D298+E298</f>
        <v>1</v>
      </c>
      <c r="G298" s="23" t="n">
        <f aca="false">IF(F298=0,"n/a",D298/F298)</f>
        <v>0</v>
      </c>
    </row>
    <row r="299" customFormat="false" ht="15" hidden="false" customHeight="true" outlineLevel="0" collapsed="false">
      <c r="A299" s="7" t="s">
        <v>113</v>
      </c>
      <c r="B299" s="7" t="s">
        <v>576</v>
      </c>
      <c r="C299" s="7" t="s">
        <v>114</v>
      </c>
      <c r="D299" s="8" t="n">
        <v>1</v>
      </c>
      <c r="E299" s="8" t="n">
        <v>0</v>
      </c>
      <c r="F299" s="8" t="n">
        <f aca="false">D299+E299</f>
        <v>1</v>
      </c>
      <c r="G299" s="23" t="n">
        <f aca="false">IF(F299=0,"n/a",D299/F299)</f>
        <v>1</v>
      </c>
    </row>
    <row r="300" customFormat="false" ht="15" hidden="false" customHeight="true" outlineLevel="0" collapsed="false">
      <c r="A300" s="7" t="s">
        <v>113</v>
      </c>
      <c r="B300" s="7" t="s">
        <v>577</v>
      </c>
      <c r="C300" s="7" t="s">
        <v>114</v>
      </c>
      <c r="D300" s="8" t="n">
        <v>1</v>
      </c>
      <c r="E300" s="8" t="n">
        <v>0</v>
      </c>
      <c r="F300" s="8" t="n">
        <f aca="false">D300+E300</f>
        <v>1</v>
      </c>
      <c r="G300" s="23" t="n">
        <f aca="false">IF(F300=0,"n/a",D300/F300)</f>
        <v>1</v>
      </c>
    </row>
    <row r="301" customFormat="false" ht="15" hidden="false" customHeight="true" outlineLevel="0" collapsed="false">
      <c r="A301" s="7" t="s">
        <v>113</v>
      </c>
      <c r="B301" s="7" t="s">
        <v>578</v>
      </c>
      <c r="C301" s="7" t="s">
        <v>114</v>
      </c>
      <c r="D301" s="8" t="n">
        <v>0</v>
      </c>
      <c r="E301" s="8" t="n">
        <v>1</v>
      </c>
      <c r="F301" s="8" t="n">
        <f aca="false">D301+E301</f>
        <v>1</v>
      </c>
      <c r="G301" s="23" t="n">
        <f aca="false">IF(F301=0,"n/a",D301/F301)</f>
        <v>0</v>
      </c>
    </row>
    <row r="302" customFormat="false" ht="15" hidden="false" customHeight="true" outlineLevel="0" collapsed="false">
      <c r="A302" s="7" t="s">
        <v>113</v>
      </c>
      <c r="B302" s="7" t="s">
        <v>579</v>
      </c>
      <c r="C302" s="7" t="s">
        <v>114</v>
      </c>
      <c r="D302" s="8" t="n">
        <v>1</v>
      </c>
      <c r="E302" s="8" t="n">
        <v>0</v>
      </c>
      <c r="F302" s="8" t="n">
        <f aca="false">D302+E302</f>
        <v>1</v>
      </c>
      <c r="G302" s="23" t="n">
        <f aca="false">IF(F302=0,"n/a",D302/F302)</f>
        <v>1</v>
      </c>
    </row>
    <row r="303" customFormat="false" ht="15" hidden="false" customHeight="true" outlineLevel="0" collapsed="false">
      <c r="A303" s="7" t="s">
        <v>113</v>
      </c>
      <c r="B303" s="7" t="s">
        <v>580</v>
      </c>
      <c r="C303" s="7" t="s">
        <v>114</v>
      </c>
      <c r="D303" s="8" t="n">
        <v>0</v>
      </c>
      <c r="E303" s="8" t="n">
        <v>1</v>
      </c>
      <c r="F303" s="8" t="n">
        <f aca="false">D303+E303</f>
        <v>1</v>
      </c>
      <c r="G303" s="23" t="n">
        <f aca="false">IF(F303=0,"n/a",D303/F303)</f>
        <v>0</v>
      </c>
    </row>
    <row r="304" customFormat="false" ht="15" hidden="false" customHeight="true" outlineLevel="0" collapsed="false">
      <c r="A304" s="7" t="s">
        <v>113</v>
      </c>
      <c r="B304" s="7" t="s">
        <v>581</v>
      </c>
      <c r="C304" s="7" t="s">
        <v>114</v>
      </c>
      <c r="D304" s="8" t="n">
        <v>1</v>
      </c>
      <c r="E304" s="8" t="n">
        <v>0</v>
      </c>
      <c r="F304" s="8" t="n">
        <f aca="false">D304+E304</f>
        <v>1</v>
      </c>
      <c r="G304" s="23" t="n">
        <f aca="false">IF(F304=0,"n/a",D304/F304)</f>
        <v>1</v>
      </c>
    </row>
    <row r="305" customFormat="false" ht="15" hidden="false" customHeight="true" outlineLevel="0" collapsed="false">
      <c r="A305" s="7" t="s">
        <v>113</v>
      </c>
      <c r="B305" s="7" t="s">
        <v>582</v>
      </c>
      <c r="C305" s="7" t="s">
        <v>114</v>
      </c>
      <c r="D305" s="8" t="n">
        <v>0</v>
      </c>
      <c r="E305" s="8" t="n">
        <v>1</v>
      </c>
      <c r="F305" s="8" t="n">
        <f aca="false">D305+E305</f>
        <v>1</v>
      </c>
      <c r="G305" s="23" t="n">
        <f aca="false">IF(F305=0,"n/a",D305/F305)</f>
        <v>0</v>
      </c>
    </row>
    <row r="306" customFormat="false" ht="15" hidden="false" customHeight="true" outlineLevel="0" collapsed="false">
      <c r="A306" s="7" t="s">
        <v>113</v>
      </c>
      <c r="B306" s="7" t="s">
        <v>583</v>
      </c>
      <c r="C306" s="7" t="s">
        <v>114</v>
      </c>
      <c r="D306" s="8" t="n">
        <v>0</v>
      </c>
      <c r="E306" s="8" t="n">
        <v>1</v>
      </c>
      <c r="F306" s="8" t="n">
        <f aca="false">D306+E306</f>
        <v>1</v>
      </c>
      <c r="G306" s="23" t="n">
        <f aca="false">IF(F306=0,"n/a",D306/F306)</f>
        <v>0</v>
      </c>
    </row>
    <row r="307" customFormat="false" ht="15" hidden="false" customHeight="true" outlineLevel="0" collapsed="false">
      <c r="A307" s="7" t="s">
        <v>113</v>
      </c>
      <c r="B307" s="7" t="s">
        <v>302</v>
      </c>
      <c r="C307" s="7" t="s">
        <v>114</v>
      </c>
      <c r="D307" s="8" t="n">
        <v>0</v>
      </c>
      <c r="E307" s="8" t="n">
        <v>1</v>
      </c>
      <c r="F307" s="8" t="n">
        <f aca="false">D307+E307</f>
        <v>1</v>
      </c>
      <c r="G307" s="23" t="n">
        <f aca="false">IF(F307=0,"n/a",D307/F307)</f>
        <v>0</v>
      </c>
    </row>
    <row r="308" customFormat="false" ht="15" hidden="false" customHeight="true" outlineLevel="0" collapsed="false">
      <c r="A308" s="7" t="s">
        <v>113</v>
      </c>
      <c r="B308" s="7" t="s">
        <v>584</v>
      </c>
      <c r="C308" s="7" t="s">
        <v>114</v>
      </c>
      <c r="D308" s="8" t="n">
        <v>0</v>
      </c>
      <c r="E308" s="8" t="n">
        <v>1</v>
      </c>
      <c r="F308" s="8" t="n">
        <f aca="false">D308+E308</f>
        <v>1</v>
      </c>
      <c r="G308" s="23" t="n">
        <f aca="false">IF(F308=0,"n/a",D308/F308)</f>
        <v>0</v>
      </c>
    </row>
    <row r="309" customFormat="false" ht="15" hidden="false" customHeight="true" outlineLevel="0" collapsed="false">
      <c r="A309" s="7" t="s">
        <v>113</v>
      </c>
      <c r="B309" s="7" t="s">
        <v>585</v>
      </c>
      <c r="C309" s="7" t="s">
        <v>114</v>
      </c>
      <c r="D309" s="8" t="n">
        <v>0</v>
      </c>
      <c r="E309" s="8" t="n">
        <v>1</v>
      </c>
      <c r="F309" s="8" t="n">
        <f aca="false">D309+E309</f>
        <v>1</v>
      </c>
      <c r="G309" s="23" t="n">
        <f aca="false">IF(F309=0,"n/a",D309/F309)</f>
        <v>0</v>
      </c>
    </row>
    <row r="310" customFormat="false" ht="15" hidden="false" customHeight="true" outlineLevel="0" collapsed="false">
      <c r="A310" s="7" t="s">
        <v>113</v>
      </c>
      <c r="B310" s="7" t="s">
        <v>586</v>
      </c>
      <c r="C310" s="7" t="s">
        <v>114</v>
      </c>
      <c r="D310" s="8" t="n">
        <v>0</v>
      </c>
      <c r="E310" s="8" t="n">
        <v>1</v>
      </c>
      <c r="F310" s="8" t="n">
        <f aca="false">D310+E310</f>
        <v>1</v>
      </c>
      <c r="G310" s="23" t="n">
        <f aca="false">IF(F310=0,"n/a",D310/F310)</f>
        <v>0</v>
      </c>
    </row>
    <row r="311" customFormat="false" ht="15" hidden="false" customHeight="true" outlineLevel="0" collapsed="false">
      <c r="A311" s="7" t="s">
        <v>113</v>
      </c>
      <c r="B311" s="7" t="s">
        <v>587</v>
      </c>
      <c r="C311" s="7" t="s">
        <v>114</v>
      </c>
      <c r="D311" s="8" t="n">
        <v>1</v>
      </c>
      <c r="E311" s="8" t="n">
        <v>0</v>
      </c>
      <c r="F311" s="8" t="n">
        <f aca="false">D311+E311</f>
        <v>1</v>
      </c>
      <c r="G311" s="23" t="n">
        <f aca="false">IF(F311=0,"n/a",D311/F311)</f>
        <v>1</v>
      </c>
    </row>
    <row r="312" customFormat="false" ht="15" hidden="false" customHeight="true" outlineLevel="0" collapsed="false">
      <c r="A312" s="7" t="s">
        <v>113</v>
      </c>
      <c r="B312" s="7" t="s">
        <v>588</v>
      </c>
      <c r="C312" s="7" t="s">
        <v>114</v>
      </c>
      <c r="D312" s="8" t="n">
        <v>0</v>
      </c>
      <c r="E312" s="8" t="n">
        <v>1</v>
      </c>
      <c r="F312" s="8" t="n">
        <f aca="false">D312+E312</f>
        <v>1</v>
      </c>
      <c r="G312" s="23" t="n">
        <f aca="false">IF(F312=0,"n/a",D312/F312)</f>
        <v>0</v>
      </c>
    </row>
    <row r="313" customFormat="false" ht="15" hidden="false" customHeight="true" outlineLevel="0" collapsed="false">
      <c r="A313" s="7" t="s">
        <v>113</v>
      </c>
      <c r="B313" s="7" t="s">
        <v>589</v>
      </c>
      <c r="C313" s="7" t="s">
        <v>114</v>
      </c>
      <c r="D313" s="8" t="n">
        <v>0</v>
      </c>
      <c r="E313" s="8" t="n">
        <v>1</v>
      </c>
      <c r="F313" s="8" t="n">
        <f aca="false">D313+E313</f>
        <v>1</v>
      </c>
      <c r="G313" s="23" t="n">
        <f aca="false">IF(F313=0,"n/a",D313/F313)</f>
        <v>0</v>
      </c>
    </row>
    <row r="314" customFormat="false" ht="15" hidden="false" customHeight="true" outlineLevel="0" collapsed="false">
      <c r="A314" s="7" t="s">
        <v>113</v>
      </c>
      <c r="B314" s="7" t="s">
        <v>590</v>
      </c>
      <c r="C314" s="7" t="s">
        <v>114</v>
      </c>
      <c r="D314" s="8" t="n">
        <v>0</v>
      </c>
      <c r="E314" s="8" t="n">
        <v>1</v>
      </c>
      <c r="F314" s="8" t="n">
        <f aca="false">D314+E314</f>
        <v>1</v>
      </c>
      <c r="G314" s="23" t="n">
        <f aca="false">IF(F314=0,"n/a",D314/F314)</f>
        <v>0</v>
      </c>
    </row>
    <row r="315" customFormat="false" ht="15" hidden="false" customHeight="true" outlineLevel="0" collapsed="false">
      <c r="A315" s="7" t="s">
        <v>113</v>
      </c>
      <c r="B315" s="7" t="s">
        <v>591</v>
      </c>
      <c r="C315" s="7" t="s">
        <v>114</v>
      </c>
      <c r="D315" s="8" t="n">
        <v>0</v>
      </c>
      <c r="E315" s="8" t="n">
        <v>1</v>
      </c>
      <c r="F315" s="8" t="n">
        <f aca="false">D315+E315</f>
        <v>1</v>
      </c>
      <c r="G315" s="23" t="n">
        <f aca="false">IF(F315=0,"n/a",D315/F315)</f>
        <v>0</v>
      </c>
    </row>
    <row r="316" customFormat="false" ht="15" hidden="false" customHeight="true" outlineLevel="0" collapsed="false">
      <c r="A316" s="7" t="s">
        <v>113</v>
      </c>
      <c r="B316" s="7" t="s">
        <v>592</v>
      </c>
      <c r="C316" s="7" t="s">
        <v>114</v>
      </c>
      <c r="D316" s="8" t="n">
        <v>0</v>
      </c>
      <c r="E316" s="8" t="n">
        <v>1</v>
      </c>
      <c r="F316" s="8" t="n">
        <f aca="false">D316+E316</f>
        <v>1</v>
      </c>
      <c r="G316" s="23" t="n">
        <f aca="false">IF(F316=0,"n/a",D316/F316)</f>
        <v>0</v>
      </c>
    </row>
    <row r="317" customFormat="false" ht="15" hidden="false" customHeight="true" outlineLevel="0" collapsed="false">
      <c r="A317" s="7" t="s">
        <v>113</v>
      </c>
      <c r="B317" s="7" t="s">
        <v>593</v>
      </c>
      <c r="C317" s="7" t="s">
        <v>114</v>
      </c>
      <c r="D317" s="8" t="n">
        <v>0</v>
      </c>
      <c r="E317" s="8" t="n">
        <v>1</v>
      </c>
      <c r="F317" s="8" t="n">
        <f aca="false">D317+E317</f>
        <v>1</v>
      </c>
      <c r="G317" s="23" t="n">
        <f aca="false">IF(F317=0,"n/a",D317/F317)</f>
        <v>0</v>
      </c>
    </row>
    <row r="318" customFormat="false" ht="15" hidden="false" customHeight="true" outlineLevel="0" collapsed="false">
      <c r="A318" s="7" t="s">
        <v>113</v>
      </c>
      <c r="B318" s="7" t="s">
        <v>594</v>
      </c>
      <c r="C318" s="7" t="s">
        <v>114</v>
      </c>
      <c r="D318" s="8" t="n">
        <v>0</v>
      </c>
      <c r="E318" s="8" t="n">
        <v>1</v>
      </c>
      <c r="F318" s="8" t="n">
        <f aca="false">D318+E318</f>
        <v>1</v>
      </c>
      <c r="G318" s="23" t="n">
        <f aca="false">IF(F318=0,"n/a",D318/F318)</f>
        <v>0</v>
      </c>
    </row>
    <row r="319" customFormat="false" ht="15" hidden="false" customHeight="true" outlineLevel="0" collapsed="false">
      <c r="A319" s="7" t="s">
        <v>115</v>
      </c>
      <c r="B319" s="7" t="s">
        <v>595</v>
      </c>
      <c r="C319" s="7" t="s">
        <v>103</v>
      </c>
      <c r="D319" s="8" t="n">
        <v>4</v>
      </c>
      <c r="E319" s="8" t="n">
        <v>4</v>
      </c>
      <c r="F319" s="8" t="n">
        <f aca="false">D319+E319</f>
        <v>8</v>
      </c>
      <c r="G319" s="23" t="n">
        <f aca="false">IF(F319=0,"n/a",D319/F319)</f>
        <v>0.5</v>
      </c>
    </row>
    <row r="320" customFormat="false" ht="15" hidden="false" customHeight="true" outlineLevel="0" collapsed="false">
      <c r="A320" s="7" t="s">
        <v>115</v>
      </c>
      <c r="B320" s="7" t="s">
        <v>596</v>
      </c>
      <c r="C320" s="7" t="s">
        <v>103</v>
      </c>
      <c r="D320" s="8" t="n">
        <v>2</v>
      </c>
      <c r="E320" s="8" t="n">
        <v>2</v>
      </c>
      <c r="F320" s="8" t="n">
        <f aca="false">D320+E320</f>
        <v>4</v>
      </c>
      <c r="G320" s="23" t="n">
        <f aca="false">IF(F320=0,"n/a",D320/F320)</f>
        <v>0.5</v>
      </c>
    </row>
    <row r="321" customFormat="false" ht="15" hidden="false" customHeight="true" outlineLevel="0" collapsed="false">
      <c r="A321" s="7" t="s">
        <v>115</v>
      </c>
      <c r="B321" s="7" t="s">
        <v>597</v>
      </c>
      <c r="C321" s="7" t="s">
        <v>103</v>
      </c>
      <c r="D321" s="8" t="n">
        <v>0</v>
      </c>
      <c r="E321" s="8" t="n">
        <v>2</v>
      </c>
      <c r="F321" s="8" t="n">
        <f aca="false">D321+E321</f>
        <v>2</v>
      </c>
      <c r="G321" s="23" t="n">
        <f aca="false">IF(F321=0,"n/a",D321/F321)</f>
        <v>0</v>
      </c>
    </row>
    <row r="322" customFormat="false" ht="15" hidden="false" customHeight="true" outlineLevel="0" collapsed="false">
      <c r="A322" s="7" t="s">
        <v>115</v>
      </c>
      <c r="B322" s="7" t="s">
        <v>598</v>
      </c>
      <c r="C322" s="7" t="s">
        <v>103</v>
      </c>
      <c r="D322" s="8" t="n">
        <v>0</v>
      </c>
      <c r="E322" s="8" t="n">
        <v>2</v>
      </c>
      <c r="F322" s="8" t="n">
        <f aca="false">D322+E322</f>
        <v>2</v>
      </c>
      <c r="G322" s="23" t="n">
        <f aca="false">IF(F322=0,"n/a",D322/F322)</f>
        <v>0</v>
      </c>
    </row>
    <row r="323" customFormat="false" ht="15" hidden="false" customHeight="true" outlineLevel="0" collapsed="false">
      <c r="A323" s="7" t="s">
        <v>115</v>
      </c>
      <c r="B323" s="7" t="s">
        <v>599</v>
      </c>
      <c r="C323" s="7" t="s">
        <v>103</v>
      </c>
      <c r="D323" s="8" t="n">
        <v>1</v>
      </c>
      <c r="E323" s="8" t="n">
        <v>0</v>
      </c>
      <c r="F323" s="8" t="n">
        <f aca="false">D323+E323</f>
        <v>1</v>
      </c>
      <c r="G323" s="23" t="n">
        <f aca="false">IF(F323=0,"n/a",D323/F323)</f>
        <v>1</v>
      </c>
    </row>
    <row r="324" customFormat="false" ht="15" hidden="false" customHeight="true" outlineLevel="0" collapsed="false">
      <c r="A324" s="7" t="s">
        <v>115</v>
      </c>
      <c r="B324" s="7" t="s">
        <v>600</v>
      </c>
      <c r="C324" s="7" t="s">
        <v>103</v>
      </c>
      <c r="D324" s="8" t="n">
        <v>0</v>
      </c>
      <c r="E324" s="8" t="n">
        <v>1</v>
      </c>
      <c r="F324" s="8" t="n">
        <f aca="false">D324+E324</f>
        <v>1</v>
      </c>
      <c r="G324" s="23" t="n">
        <f aca="false">IF(F324=0,"n/a",D324/F324)</f>
        <v>0</v>
      </c>
    </row>
    <row r="325" customFormat="false" ht="15" hidden="false" customHeight="true" outlineLevel="0" collapsed="false">
      <c r="A325" s="7" t="s">
        <v>115</v>
      </c>
      <c r="B325" s="7" t="s">
        <v>601</v>
      </c>
      <c r="C325" s="7" t="s">
        <v>103</v>
      </c>
      <c r="D325" s="8" t="n">
        <v>0</v>
      </c>
      <c r="E325" s="8" t="n">
        <v>1</v>
      </c>
      <c r="F325" s="8" t="n">
        <f aca="false">D325+E325</f>
        <v>1</v>
      </c>
      <c r="G325" s="23" t="n">
        <f aca="false">IF(F325=0,"n/a",D325/F325)</f>
        <v>0</v>
      </c>
    </row>
    <row r="326" customFormat="false" ht="15" hidden="false" customHeight="true" outlineLevel="0" collapsed="false">
      <c r="A326" s="7" t="s">
        <v>116</v>
      </c>
      <c r="B326" s="7" t="s">
        <v>602</v>
      </c>
      <c r="C326" s="7" t="s">
        <v>117</v>
      </c>
      <c r="D326" s="8" t="n">
        <v>0</v>
      </c>
      <c r="E326" s="8" t="n">
        <v>11</v>
      </c>
      <c r="F326" s="8" t="n">
        <f aca="false">D326+E326</f>
        <v>11</v>
      </c>
      <c r="G326" s="23" t="n">
        <f aca="false">IF(F326=0,"n/a",D326/F326)</f>
        <v>0</v>
      </c>
    </row>
    <row r="327" customFormat="false" ht="15" hidden="false" customHeight="true" outlineLevel="0" collapsed="false">
      <c r="A327" s="7" t="s">
        <v>116</v>
      </c>
      <c r="B327" s="7" t="s">
        <v>603</v>
      </c>
      <c r="C327" s="7" t="s">
        <v>117</v>
      </c>
      <c r="D327" s="8" t="n">
        <v>0</v>
      </c>
      <c r="E327" s="8" t="n">
        <v>7</v>
      </c>
      <c r="F327" s="8" t="n">
        <f aca="false">D327+E327</f>
        <v>7</v>
      </c>
      <c r="G327" s="23" t="n">
        <f aca="false">IF(F327=0,"n/a",D327/F327)</f>
        <v>0</v>
      </c>
    </row>
    <row r="328" customFormat="false" ht="15" hidden="false" customHeight="true" outlineLevel="0" collapsed="false">
      <c r="A328" s="7" t="s">
        <v>116</v>
      </c>
      <c r="B328" s="7" t="s">
        <v>604</v>
      </c>
      <c r="C328" s="7" t="s">
        <v>117</v>
      </c>
      <c r="D328" s="8" t="n">
        <v>0</v>
      </c>
      <c r="E328" s="8" t="n">
        <v>6</v>
      </c>
      <c r="F328" s="8" t="n">
        <f aca="false">D328+E328</f>
        <v>6</v>
      </c>
      <c r="G328" s="23" t="n">
        <f aca="false">IF(F328=0,"n/a",D328/F328)</f>
        <v>0</v>
      </c>
    </row>
    <row r="329" customFormat="false" ht="15" hidden="false" customHeight="true" outlineLevel="0" collapsed="false">
      <c r="A329" s="7" t="s">
        <v>116</v>
      </c>
      <c r="B329" s="7" t="s">
        <v>605</v>
      </c>
      <c r="C329" s="7" t="s">
        <v>117</v>
      </c>
      <c r="D329" s="8" t="n">
        <v>0</v>
      </c>
      <c r="E329" s="8" t="n">
        <v>5</v>
      </c>
      <c r="F329" s="8" t="n">
        <f aca="false">D329+E329</f>
        <v>5</v>
      </c>
      <c r="G329" s="23" t="n">
        <f aca="false">IF(F329=0,"n/a",D329/F329)</f>
        <v>0</v>
      </c>
    </row>
    <row r="330" customFormat="false" ht="15" hidden="false" customHeight="true" outlineLevel="0" collapsed="false">
      <c r="A330" s="7" t="s">
        <v>116</v>
      </c>
      <c r="B330" s="7" t="s">
        <v>606</v>
      </c>
      <c r="C330" s="7" t="s">
        <v>117</v>
      </c>
      <c r="D330" s="8" t="n">
        <v>5</v>
      </c>
      <c r="E330" s="8" t="n">
        <v>0</v>
      </c>
      <c r="F330" s="8" t="n">
        <f aca="false">D330+E330</f>
        <v>5</v>
      </c>
      <c r="G330" s="23" t="n">
        <f aca="false">IF(F330=0,"n/a",D330/F330)</f>
        <v>1</v>
      </c>
    </row>
    <row r="331" customFormat="false" ht="15" hidden="false" customHeight="true" outlineLevel="0" collapsed="false">
      <c r="A331" s="7" t="s">
        <v>116</v>
      </c>
      <c r="B331" s="7" t="s">
        <v>607</v>
      </c>
      <c r="C331" s="7" t="s">
        <v>117</v>
      </c>
      <c r="D331" s="8" t="n">
        <v>3</v>
      </c>
      <c r="E331" s="8" t="n">
        <v>1</v>
      </c>
      <c r="F331" s="8" t="n">
        <f aca="false">D331+E331</f>
        <v>4</v>
      </c>
      <c r="G331" s="23" t="n">
        <f aca="false">IF(F331=0,"n/a",D331/F331)</f>
        <v>0.75</v>
      </c>
    </row>
    <row r="332" customFormat="false" ht="15" hidden="false" customHeight="true" outlineLevel="0" collapsed="false">
      <c r="A332" s="7" t="s">
        <v>116</v>
      </c>
      <c r="B332" s="7" t="s">
        <v>608</v>
      </c>
      <c r="C332" s="7" t="s">
        <v>117</v>
      </c>
      <c r="D332" s="8" t="n">
        <v>0</v>
      </c>
      <c r="E332" s="8" t="n">
        <v>3</v>
      </c>
      <c r="F332" s="8" t="n">
        <f aca="false">D332+E332</f>
        <v>3</v>
      </c>
      <c r="G332" s="23" t="n">
        <f aca="false">IF(F332=0,"n/a",D332/F332)</f>
        <v>0</v>
      </c>
    </row>
    <row r="333" customFormat="false" ht="15" hidden="false" customHeight="true" outlineLevel="0" collapsed="false">
      <c r="A333" s="7" t="s">
        <v>116</v>
      </c>
      <c r="B333" s="7" t="s">
        <v>609</v>
      </c>
      <c r="C333" s="7" t="s">
        <v>117</v>
      </c>
      <c r="D333" s="8" t="n">
        <v>0</v>
      </c>
      <c r="E333" s="8" t="n">
        <v>3</v>
      </c>
      <c r="F333" s="8" t="n">
        <f aca="false">D333+E333</f>
        <v>3</v>
      </c>
      <c r="G333" s="23" t="n">
        <f aca="false">IF(F333=0,"n/a",D333/F333)</f>
        <v>0</v>
      </c>
    </row>
    <row r="334" customFormat="false" ht="15" hidden="false" customHeight="true" outlineLevel="0" collapsed="false">
      <c r="A334" s="7" t="s">
        <v>116</v>
      </c>
      <c r="B334" s="7" t="s">
        <v>610</v>
      </c>
      <c r="C334" s="7" t="s">
        <v>117</v>
      </c>
      <c r="D334" s="8" t="n">
        <v>0</v>
      </c>
      <c r="E334" s="8" t="n">
        <v>2</v>
      </c>
      <c r="F334" s="8" t="n">
        <f aca="false">D334+E334</f>
        <v>2</v>
      </c>
      <c r="G334" s="23" t="n">
        <f aca="false">IF(F334=0,"n/a",D334/F334)</f>
        <v>0</v>
      </c>
    </row>
    <row r="335" customFormat="false" ht="15" hidden="false" customHeight="true" outlineLevel="0" collapsed="false">
      <c r="A335" s="7" t="s">
        <v>116</v>
      </c>
      <c r="B335" s="7" t="s">
        <v>611</v>
      </c>
      <c r="C335" s="7" t="s">
        <v>117</v>
      </c>
      <c r="D335" s="8" t="n">
        <v>0</v>
      </c>
      <c r="E335" s="8" t="n">
        <v>2</v>
      </c>
      <c r="F335" s="8" t="n">
        <f aca="false">D335+E335</f>
        <v>2</v>
      </c>
      <c r="G335" s="23" t="n">
        <f aca="false">IF(F335=0,"n/a",D335/F335)</f>
        <v>0</v>
      </c>
    </row>
    <row r="336" customFormat="false" ht="15" hidden="false" customHeight="true" outlineLevel="0" collapsed="false">
      <c r="A336" s="7" t="s">
        <v>116</v>
      </c>
      <c r="B336" s="7" t="s">
        <v>612</v>
      </c>
      <c r="C336" s="7" t="s">
        <v>117</v>
      </c>
      <c r="D336" s="8" t="n">
        <v>1</v>
      </c>
      <c r="E336" s="8" t="n">
        <v>1</v>
      </c>
      <c r="F336" s="8" t="n">
        <f aca="false">D336+E336</f>
        <v>2</v>
      </c>
      <c r="G336" s="23" t="n">
        <f aca="false">IF(F336=0,"n/a",D336/F336)</f>
        <v>0.5</v>
      </c>
    </row>
    <row r="337" customFormat="false" ht="15" hidden="false" customHeight="true" outlineLevel="0" collapsed="false">
      <c r="A337" s="7" t="s">
        <v>116</v>
      </c>
      <c r="B337" s="7" t="s">
        <v>613</v>
      </c>
      <c r="C337" s="7" t="s">
        <v>117</v>
      </c>
      <c r="D337" s="8" t="n">
        <v>1</v>
      </c>
      <c r="E337" s="8" t="n">
        <v>0</v>
      </c>
      <c r="F337" s="8" t="n">
        <f aca="false">D337+E337</f>
        <v>1</v>
      </c>
      <c r="G337" s="23" t="n">
        <f aca="false">IF(F337=0,"n/a",D337/F337)</f>
        <v>1</v>
      </c>
    </row>
    <row r="338" customFormat="false" ht="15" hidden="false" customHeight="true" outlineLevel="0" collapsed="false">
      <c r="A338" s="7" t="s">
        <v>116</v>
      </c>
      <c r="B338" s="7" t="s">
        <v>614</v>
      </c>
      <c r="C338" s="7" t="s">
        <v>117</v>
      </c>
      <c r="D338" s="8" t="n">
        <v>1</v>
      </c>
      <c r="E338" s="8" t="n">
        <v>0</v>
      </c>
      <c r="F338" s="8" t="n">
        <f aca="false">D338+E338</f>
        <v>1</v>
      </c>
      <c r="G338" s="23" t="n">
        <f aca="false">IF(F338=0,"n/a",D338/F338)</f>
        <v>1</v>
      </c>
    </row>
    <row r="339" customFormat="false" ht="15" hidden="false" customHeight="true" outlineLevel="0" collapsed="false">
      <c r="A339" s="7" t="s">
        <v>116</v>
      </c>
      <c r="B339" s="7" t="s">
        <v>615</v>
      </c>
      <c r="C339" s="7" t="s">
        <v>117</v>
      </c>
      <c r="D339" s="8" t="n">
        <v>1</v>
      </c>
      <c r="E339" s="8" t="n">
        <v>0</v>
      </c>
      <c r="F339" s="8" t="n">
        <f aca="false">D339+E339</f>
        <v>1</v>
      </c>
      <c r="G339" s="23" t="n">
        <f aca="false">IF(F339=0,"n/a",D339/F339)</f>
        <v>1</v>
      </c>
    </row>
    <row r="340" customFormat="false" ht="15" hidden="false" customHeight="true" outlineLevel="0" collapsed="false">
      <c r="A340" s="7" t="s">
        <v>116</v>
      </c>
      <c r="B340" s="7" t="s">
        <v>616</v>
      </c>
      <c r="C340" s="7" t="s">
        <v>117</v>
      </c>
      <c r="D340" s="8" t="n">
        <v>0</v>
      </c>
      <c r="E340" s="8" t="n">
        <v>1</v>
      </c>
      <c r="F340" s="8" t="n">
        <f aca="false">D340+E340</f>
        <v>1</v>
      </c>
      <c r="G340" s="23" t="n">
        <f aca="false">IF(F340=0,"n/a",D340/F340)</f>
        <v>0</v>
      </c>
    </row>
    <row r="341" customFormat="false" ht="15" hidden="false" customHeight="true" outlineLevel="0" collapsed="false">
      <c r="A341" s="7" t="s">
        <v>116</v>
      </c>
      <c r="B341" s="7" t="s">
        <v>617</v>
      </c>
      <c r="C341" s="7" t="s">
        <v>117</v>
      </c>
      <c r="D341" s="8" t="n">
        <v>0</v>
      </c>
      <c r="E341" s="8" t="n">
        <v>1</v>
      </c>
      <c r="F341" s="8" t="n">
        <f aca="false">D341+E341</f>
        <v>1</v>
      </c>
      <c r="G341" s="23" t="n">
        <f aca="false">IF(F341=0,"n/a",D341/F341)</f>
        <v>0</v>
      </c>
    </row>
    <row r="342" customFormat="false" ht="15" hidden="false" customHeight="true" outlineLevel="0" collapsed="false">
      <c r="A342" s="7" t="s">
        <v>116</v>
      </c>
      <c r="B342" s="7" t="s">
        <v>618</v>
      </c>
      <c r="C342" s="7" t="s">
        <v>117</v>
      </c>
      <c r="D342" s="8" t="n">
        <v>1</v>
      </c>
      <c r="E342" s="8" t="n">
        <v>0</v>
      </c>
      <c r="F342" s="8" t="n">
        <f aca="false">D342+E342</f>
        <v>1</v>
      </c>
      <c r="G342" s="23" t="n">
        <f aca="false">IF(F342=0,"n/a",D342/F342)</f>
        <v>1</v>
      </c>
    </row>
    <row r="343" customFormat="false" ht="15" hidden="false" customHeight="true" outlineLevel="0" collapsed="false">
      <c r="A343" s="7" t="s">
        <v>116</v>
      </c>
      <c r="B343" s="7" t="s">
        <v>619</v>
      </c>
      <c r="C343" s="7" t="s">
        <v>117</v>
      </c>
      <c r="D343" s="8" t="n">
        <v>1</v>
      </c>
      <c r="E343" s="8" t="n">
        <v>0</v>
      </c>
      <c r="F343" s="8" t="n">
        <f aca="false">D343+E343</f>
        <v>1</v>
      </c>
      <c r="G343" s="23" t="n">
        <f aca="false">IF(F343=0,"n/a",D343/F343)</f>
        <v>1</v>
      </c>
    </row>
    <row r="344" customFormat="false" ht="15" hidden="false" customHeight="true" outlineLevel="0" collapsed="false">
      <c r="A344" s="7" t="s">
        <v>118</v>
      </c>
      <c r="B344" s="7" t="s">
        <v>620</v>
      </c>
      <c r="C344" s="7" t="s">
        <v>101</v>
      </c>
      <c r="D344" s="8" t="n">
        <v>8</v>
      </c>
      <c r="E344" s="8" t="n">
        <v>2</v>
      </c>
      <c r="F344" s="8" t="n">
        <f aca="false">D344+E344</f>
        <v>10</v>
      </c>
      <c r="G344" s="23" t="n">
        <f aca="false">IF(F344=0,"n/a",D344/F344)</f>
        <v>0.8</v>
      </c>
    </row>
    <row r="345" customFormat="false" ht="15" hidden="false" customHeight="true" outlineLevel="0" collapsed="false">
      <c r="A345" s="7" t="s">
        <v>118</v>
      </c>
      <c r="B345" s="7" t="s">
        <v>621</v>
      </c>
      <c r="C345" s="7" t="s">
        <v>101</v>
      </c>
      <c r="D345" s="8" t="n">
        <v>0</v>
      </c>
      <c r="E345" s="8" t="n">
        <v>8</v>
      </c>
      <c r="F345" s="8" t="n">
        <f aca="false">D345+E345</f>
        <v>8</v>
      </c>
      <c r="G345" s="23" t="n">
        <f aca="false">IF(F345=0,"n/a",D345/F345)</f>
        <v>0</v>
      </c>
    </row>
    <row r="346" customFormat="false" ht="15" hidden="false" customHeight="true" outlineLevel="0" collapsed="false">
      <c r="A346" s="7" t="s">
        <v>118</v>
      </c>
      <c r="B346" s="7" t="s">
        <v>622</v>
      </c>
      <c r="C346" s="7" t="s">
        <v>101</v>
      </c>
      <c r="D346" s="8" t="n">
        <v>0</v>
      </c>
      <c r="E346" s="8" t="n">
        <v>3</v>
      </c>
      <c r="F346" s="8" t="n">
        <f aca="false">D346+E346</f>
        <v>3</v>
      </c>
      <c r="G346" s="23" t="n">
        <f aca="false">IF(F346=0,"n/a",D346/F346)</f>
        <v>0</v>
      </c>
    </row>
    <row r="347" customFormat="false" ht="15" hidden="false" customHeight="true" outlineLevel="0" collapsed="false">
      <c r="A347" s="7" t="s">
        <v>118</v>
      </c>
      <c r="B347" s="7" t="s">
        <v>623</v>
      </c>
      <c r="C347" s="7" t="s">
        <v>101</v>
      </c>
      <c r="D347" s="8" t="n">
        <v>0</v>
      </c>
      <c r="E347" s="8" t="n">
        <v>3</v>
      </c>
      <c r="F347" s="8" t="n">
        <f aca="false">D347+E347</f>
        <v>3</v>
      </c>
      <c r="G347" s="23" t="n">
        <f aca="false">IF(F347=0,"n/a",D347/F347)</f>
        <v>0</v>
      </c>
    </row>
    <row r="348" customFormat="false" ht="15" hidden="false" customHeight="true" outlineLevel="0" collapsed="false">
      <c r="A348" s="7" t="s">
        <v>118</v>
      </c>
      <c r="B348" s="7" t="s">
        <v>624</v>
      </c>
      <c r="C348" s="7" t="s">
        <v>101</v>
      </c>
      <c r="D348" s="8" t="n">
        <v>2</v>
      </c>
      <c r="E348" s="8" t="n">
        <v>0</v>
      </c>
      <c r="F348" s="8" t="n">
        <f aca="false">D348+E348</f>
        <v>2</v>
      </c>
      <c r="G348" s="23" t="n">
        <f aca="false">IF(F348=0,"n/a",D348/F348)</f>
        <v>1</v>
      </c>
    </row>
    <row r="349" customFormat="false" ht="15" hidden="false" customHeight="true" outlineLevel="0" collapsed="false">
      <c r="A349" s="7" t="s">
        <v>118</v>
      </c>
      <c r="B349" s="7" t="s">
        <v>625</v>
      </c>
      <c r="C349" s="7" t="s">
        <v>101</v>
      </c>
      <c r="D349" s="8" t="n">
        <v>2</v>
      </c>
      <c r="E349" s="8" t="n">
        <v>0</v>
      </c>
      <c r="F349" s="8" t="n">
        <f aca="false">D349+E349</f>
        <v>2</v>
      </c>
      <c r="G349" s="23" t="n">
        <f aca="false">IF(F349=0,"n/a",D349/F349)</f>
        <v>1</v>
      </c>
    </row>
    <row r="350" customFormat="false" ht="15" hidden="false" customHeight="true" outlineLevel="0" collapsed="false">
      <c r="A350" s="7" t="s">
        <v>118</v>
      </c>
      <c r="B350" s="7" t="s">
        <v>626</v>
      </c>
      <c r="C350" s="7" t="s">
        <v>101</v>
      </c>
      <c r="D350" s="8" t="n">
        <v>0</v>
      </c>
      <c r="E350" s="8" t="n">
        <v>1</v>
      </c>
      <c r="F350" s="8" t="n">
        <f aca="false">D350+E350</f>
        <v>1</v>
      </c>
      <c r="G350" s="23" t="n">
        <f aca="false">IF(F350=0,"n/a",D350/F350)</f>
        <v>0</v>
      </c>
    </row>
    <row r="351" customFormat="false" ht="15" hidden="false" customHeight="true" outlineLevel="0" collapsed="false">
      <c r="A351" s="7" t="s">
        <v>118</v>
      </c>
      <c r="B351" s="7" t="s">
        <v>627</v>
      </c>
      <c r="C351" s="7" t="s">
        <v>101</v>
      </c>
      <c r="D351" s="8" t="n">
        <v>1</v>
      </c>
      <c r="E351" s="8" t="n">
        <v>0</v>
      </c>
      <c r="F351" s="8" t="n">
        <f aca="false">D351+E351</f>
        <v>1</v>
      </c>
      <c r="G351" s="23" t="n">
        <f aca="false">IF(F351=0,"n/a",D351/F351)</f>
        <v>1</v>
      </c>
    </row>
    <row r="352" customFormat="false" ht="15" hidden="false" customHeight="true" outlineLevel="0" collapsed="false">
      <c r="A352" s="7" t="s">
        <v>118</v>
      </c>
      <c r="B352" s="7" t="s">
        <v>628</v>
      </c>
      <c r="C352" s="7" t="s">
        <v>101</v>
      </c>
      <c r="D352" s="8" t="n">
        <v>1</v>
      </c>
      <c r="E352" s="8" t="n">
        <v>0</v>
      </c>
      <c r="F352" s="8" t="n">
        <f aca="false">D352+E352</f>
        <v>1</v>
      </c>
      <c r="G352" s="23" t="n">
        <f aca="false">IF(F352=0,"n/a",D352/F352)</f>
        <v>1</v>
      </c>
    </row>
    <row r="353" customFormat="false" ht="15" hidden="false" customHeight="true" outlineLevel="0" collapsed="false">
      <c r="A353" s="7" t="s">
        <v>118</v>
      </c>
      <c r="B353" s="7" t="s">
        <v>629</v>
      </c>
      <c r="C353" s="7" t="s">
        <v>101</v>
      </c>
      <c r="D353" s="8" t="n">
        <v>0</v>
      </c>
      <c r="E353" s="8" t="n">
        <v>1</v>
      </c>
      <c r="F353" s="8" t="n">
        <f aca="false">D353+E353</f>
        <v>1</v>
      </c>
      <c r="G353" s="23" t="n">
        <f aca="false">IF(F353=0,"n/a",D353/F353)</f>
        <v>0</v>
      </c>
    </row>
    <row r="354" customFormat="false" ht="15" hidden="false" customHeight="true" outlineLevel="0" collapsed="false">
      <c r="A354" s="7" t="s">
        <v>118</v>
      </c>
      <c r="B354" s="7" t="s">
        <v>630</v>
      </c>
      <c r="C354" s="7" t="s">
        <v>101</v>
      </c>
      <c r="D354" s="8" t="n">
        <v>0</v>
      </c>
      <c r="E354" s="8" t="n">
        <v>1</v>
      </c>
      <c r="F354" s="8" t="n">
        <f aca="false">D354+E354</f>
        <v>1</v>
      </c>
      <c r="G354" s="23" t="n">
        <f aca="false">IF(F354=0,"n/a",D354/F354)</f>
        <v>0</v>
      </c>
    </row>
    <row r="355" customFormat="false" ht="15" hidden="false" customHeight="true" outlineLevel="0" collapsed="false">
      <c r="A355" s="7" t="s">
        <v>119</v>
      </c>
      <c r="B355" s="7" t="s">
        <v>631</v>
      </c>
      <c r="C355" s="7" t="s">
        <v>120</v>
      </c>
      <c r="D355" s="8" t="n">
        <v>9</v>
      </c>
      <c r="E355" s="8" t="n">
        <v>7</v>
      </c>
      <c r="F355" s="8" t="n">
        <f aca="false">D355+E355</f>
        <v>16</v>
      </c>
      <c r="G355" s="23" t="n">
        <f aca="false">IF(F355=0,"n/a",D355/F355)</f>
        <v>0.5625</v>
      </c>
    </row>
    <row r="356" customFormat="false" ht="15" hidden="false" customHeight="true" outlineLevel="0" collapsed="false">
      <c r="A356" s="7" t="s">
        <v>119</v>
      </c>
      <c r="B356" s="7" t="s">
        <v>632</v>
      </c>
      <c r="C356" s="7" t="s">
        <v>120</v>
      </c>
      <c r="D356" s="8" t="n">
        <v>8</v>
      </c>
      <c r="E356" s="8" t="n">
        <v>1</v>
      </c>
      <c r="F356" s="8" t="n">
        <f aca="false">D356+E356</f>
        <v>9</v>
      </c>
      <c r="G356" s="23" t="n">
        <f aca="false">IF(F356=0,"n/a",D356/F356)</f>
        <v>0.888888888888889</v>
      </c>
    </row>
    <row r="357" customFormat="false" ht="15" hidden="false" customHeight="true" outlineLevel="0" collapsed="false">
      <c r="A357" s="7" t="s">
        <v>119</v>
      </c>
      <c r="B357" s="7" t="s">
        <v>633</v>
      </c>
      <c r="C357" s="7" t="s">
        <v>120</v>
      </c>
      <c r="D357" s="8" t="n">
        <v>6</v>
      </c>
      <c r="E357" s="8" t="n">
        <v>1</v>
      </c>
      <c r="F357" s="8" t="n">
        <f aca="false">D357+E357</f>
        <v>7</v>
      </c>
      <c r="G357" s="23" t="n">
        <f aca="false">IF(F357=0,"n/a",D357/F357)</f>
        <v>0.857142857142857</v>
      </c>
    </row>
    <row r="358" customFormat="false" ht="15" hidden="false" customHeight="true" outlineLevel="0" collapsed="false">
      <c r="A358" s="7" t="s">
        <v>119</v>
      </c>
      <c r="B358" s="7" t="s">
        <v>634</v>
      </c>
      <c r="C358" s="7" t="s">
        <v>120</v>
      </c>
      <c r="D358" s="8" t="n">
        <v>3</v>
      </c>
      <c r="E358" s="8" t="n">
        <v>3</v>
      </c>
      <c r="F358" s="8" t="n">
        <f aca="false">D358+E358</f>
        <v>6</v>
      </c>
      <c r="G358" s="23" t="n">
        <f aca="false">IF(F358=0,"n/a",D358/F358)</f>
        <v>0.5</v>
      </c>
    </row>
    <row r="359" customFormat="false" ht="15" hidden="false" customHeight="true" outlineLevel="0" collapsed="false">
      <c r="A359" s="7" t="s">
        <v>119</v>
      </c>
      <c r="B359" s="7" t="s">
        <v>635</v>
      </c>
      <c r="C359" s="7" t="s">
        <v>120</v>
      </c>
      <c r="D359" s="8" t="n">
        <v>0</v>
      </c>
      <c r="E359" s="8" t="n">
        <v>5</v>
      </c>
      <c r="F359" s="8" t="n">
        <f aca="false">D359+E359</f>
        <v>5</v>
      </c>
      <c r="G359" s="23" t="n">
        <f aca="false">IF(F359=0,"n/a",D359/F359)</f>
        <v>0</v>
      </c>
    </row>
    <row r="360" customFormat="false" ht="15" hidden="false" customHeight="true" outlineLevel="0" collapsed="false">
      <c r="A360" s="7" t="s">
        <v>119</v>
      </c>
      <c r="B360" s="7" t="s">
        <v>636</v>
      </c>
      <c r="C360" s="7" t="s">
        <v>120</v>
      </c>
      <c r="D360" s="8" t="n">
        <v>1</v>
      </c>
      <c r="E360" s="8" t="n">
        <v>4</v>
      </c>
      <c r="F360" s="8" t="n">
        <f aca="false">D360+E360</f>
        <v>5</v>
      </c>
      <c r="G360" s="23" t="n">
        <f aca="false">IF(F360=0,"n/a",D360/F360)</f>
        <v>0.2</v>
      </c>
    </row>
    <row r="361" customFormat="false" ht="15" hidden="false" customHeight="true" outlineLevel="0" collapsed="false">
      <c r="A361" s="7" t="s">
        <v>119</v>
      </c>
      <c r="B361" s="7" t="s">
        <v>338</v>
      </c>
      <c r="C361" s="7" t="s">
        <v>120</v>
      </c>
      <c r="D361" s="8" t="n">
        <v>1</v>
      </c>
      <c r="E361" s="8" t="n">
        <v>4</v>
      </c>
      <c r="F361" s="8" t="n">
        <f aca="false">D361+E361</f>
        <v>5</v>
      </c>
      <c r="G361" s="23" t="n">
        <f aca="false">IF(F361=0,"n/a",D361/F361)</f>
        <v>0.2</v>
      </c>
    </row>
    <row r="362" customFormat="false" ht="15" hidden="false" customHeight="true" outlineLevel="0" collapsed="false">
      <c r="A362" s="7" t="s">
        <v>119</v>
      </c>
      <c r="B362" s="7" t="s">
        <v>637</v>
      </c>
      <c r="C362" s="7" t="s">
        <v>120</v>
      </c>
      <c r="D362" s="8" t="n">
        <v>5</v>
      </c>
      <c r="E362" s="8" t="n">
        <v>0</v>
      </c>
      <c r="F362" s="8" t="n">
        <f aca="false">D362+E362</f>
        <v>5</v>
      </c>
      <c r="G362" s="23" t="n">
        <f aca="false">IF(F362=0,"n/a",D362/F362)</f>
        <v>1</v>
      </c>
    </row>
    <row r="363" customFormat="false" ht="15" hidden="false" customHeight="true" outlineLevel="0" collapsed="false">
      <c r="A363" s="7" t="s">
        <v>119</v>
      </c>
      <c r="B363" s="7" t="s">
        <v>638</v>
      </c>
      <c r="C363" s="7" t="s">
        <v>120</v>
      </c>
      <c r="D363" s="8" t="n">
        <v>0</v>
      </c>
      <c r="E363" s="8" t="n">
        <v>4</v>
      </c>
      <c r="F363" s="8" t="n">
        <f aca="false">D363+E363</f>
        <v>4</v>
      </c>
      <c r="G363" s="23" t="n">
        <f aca="false">IF(F363=0,"n/a",D363/F363)</f>
        <v>0</v>
      </c>
    </row>
    <row r="364" customFormat="false" ht="15" hidden="false" customHeight="true" outlineLevel="0" collapsed="false">
      <c r="A364" s="7" t="s">
        <v>119</v>
      </c>
      <c r="B364" s="7" t="s">
        <v>639</v>
      </c>
      <c r="C364" s="7" t="s">
        <v>120</v>
      </c>
      <c r="D364" s="8" t="n">
        <v>2</v>
      </c>
      <c r="E364" s="8" t="n">
        <v>2</v>
      </c>
      <c r="F364" s="8" t="n">
        <f aca="false">D364+E364</f>
        <v>4</v>
      </c>
      <c r="G364" s="23" t="n">
        <f aca="false">IF(F364=0,"n/a",D364/F364)</f>
        <v>0.5</v>
      </c>
    </row>
    <row r="365" customFormat="false" ht="15" hidden="false" customHeight="true" outlineLevel="0" collapsed="false">
      <c r="A365" s="7" t="s">
        <v>119</v>
      </c>
      <c r="B365" s="7" t="s">
        <v>640</v>
      </c>
      <c r="C365" s="7" t="s">
        <v>120</v>
      </c>
      <c r="D365" s="8" t="n">
        <v>0</v>
      </c>
      <c r="E365" s="8" t="n">
        <v>4</v>
      </c>
      <c r="F365" s="8" t="n">
        <f aca="false">D365+E365</f>
        <v>4</v>
      </c>
      <c r="G365" s="23" t="n">
        <f aca="false">IF(F365=0,"n/a",D365/F365)</f>
        <v>0</v>
      </c>
    </row>
    <row r="366" customFormat="false" ht="15" hidden="false" customHeight="true" outlineLevel="0" collapsed="false">
      <c r="A366" s="7" t="s">
        <v>119</v>
      </c>
      <c r="B366" s="7" t="s">
        <v>467</v>
      </c>
      <c r="C366" s="7" t="s">
        <v>120</v>
      </c>
      <c r="D366" s="8" t="n">
        <v>1</v>
      </c>
      <c r="E366" s="8" t="n">
        <v>1</v>
      </c>
      <c r="F366" s="8" t="n">
        <f aca="false">D366+E366</f>
        <v>2</v>
      </c>
      <c r="G366" s="23" t="n">
        <f aca="false">IF(F366=0,"n/a",D366/F366)</f>
        <v>0.5</v>
      </c>
    </row>
    <row r="367" customFormat="false" ht="15" hidden="false" customHeight="true" outlineLevel="0" collapsed="false">
      <c r="A367" s="7" t="s">
        <v>119</v>
      </c>
      <c r="B367" s="7" t="s">
        <v>641</v>
      </c>
      <c r="C367" s="7" t="s">
        <v>120</v>
      </c>
      <c r="D367" s="8" t="n">
        <v>2</v>
      </c>
      <c r="E367" s="8" t="n">
        <v>0</v>
      </c>
      <c r="F367" s="8" t="n">
        <f aca="false">D367+E367</f>
        <v>2</v>
      </c>
      <c r="G367" s="23" t="n">
        <f aca="false">IF(F367=0,"n/a",D367/F367)</f>
        <v>1</v>
      </c>
    </row>
    <row r="368" customFormat="false" ht="15" hidden="false" customHeight="true" outlineLevel="0" collapsed="false">
      <c r="A368" s="7" t="s">
        <v>119</v>
      </c>
      <c r="B368" s="7" t="s">
        <v>642</v>
      </c>
      <c r="C368" s="7" t="s">
        <v>120</v>
      </c>
      <c r="D368" s="8" t="n">
        <v>2</v>
      </c>
      <c r="E368" s="8" t="n">
        <v>0</v>
      </c>
      <c r="F368" s="8" t="n">
        <f aca="false">D368+E368</f>
        <v>2</v>
      </c>
      <c r="G368" s="23" t="n">
        <f aca="false">IF(F368=0,"n/a",D368/F368)</f>
        <v>1</v>
      </c>
    </row>
    <row r="369" customFormat="false" ht="15" hidden="false" customHeight="true" outlineLevel="0" collapsed="false">
      <c r="A369" s="7" t="s">
        <v>119</v>
      </c>
      <c r="B369" s="7" t="s">
        <v>643</v>
      </c>
      <c r="C369" s="7" t="s">
        <v>120</v>
      </c>
      <c r="D369" s="8" t="n">
        <v>0</v>
      </c>
      <c r="E369" s="8" t="n">
        <v>2</v>
      </c>
      <c r="F369" s="8" t="n">
        <f aca="false">D369+E369</f>
        <v>2</v>
      </c>
      <c r="G369" s="23" t="n">
        <f aca="false">IF(F369=0,"n/a",D369/F369)</f>
        <v>0</v>
      </c>
    </row>
    <row r="370" customFormat="false" ht="15" hidden="false" customHeight="true" outlineLevel="0" collapsed="false">
      <c r="A370" s="7" t="s">
        <v>119</v>
      </c>
      <c r="B370" s="7" t="s">
        <v>644</v>
      </c>
      <c r="C370" s="7" t="s">
        <v>120</v>
      </c>
      <c r="D370" s="8" t="n">
        <v>0</v>
      </c>
      <c r="E370" s="8" t="n">
        <v>2</v>
      </c>
      <c r="F370" s="8" t="n">
        <f aca="false">D370+E370</f>
        <v>2</v>
      </c>
      <c r="G370" s="23" t="n">
        <f aca="false">IF(F370=0,"n/a",D370/F370)</f>
        <v>0</v>
      </c>
    </row>
    <row r="371" customFormat="false" ht="15" hidden="false" customHeight="true" outlineLevel="0" collapsed="false">
      <c r="A371" s="7" t="s">
        <v>119</v>
      </c>
      <c r="B371" s="7" t="s">
        <v>645</v>
      </c>
      <c r="C371" s="7" t="s">
        <v>120</v>
      </c>
      <c r="D371" s="8" t="n">
        <v>1</v>
      </c>
      <c r="E371" s="8" t="n">
        <v>1</v>
      </c>
      <c r="F371" s="8" t="n">
        <f aca="false">D371+E371</f>
        <v>2</v>
      </c>
      <c r="G371" s="23" t="n">
        <f aca="false">IF(F371=0,"n/a",D371/F371)</f>
        <v>0.5</v>
      </c>
    </row>
    <row r="372" customFormat="false" ht="15" hidden="false" customHeight="true" outlineLevel="0" collapsed="false">
      <c r="A372" s="7" t="s">
        <v>119</v>
      </c>
      <c r="B372" s="7" t="s">
        <v>646</v>
      </c>
      <c r="C372" s="7" t="s">
        <v>120</v>
      </c>
      <c r="D372" s="8" t="n">
        <v>1</v>
      </c>
      <c r="E372" s="8" t="n">
        <v>1</v>
      </c>
      <c r="F372" s="8" t="n">
        <f aca="false">D372+E372</f>
        <v>2</v>
      </c>
      <c r="G372" s="23" t="n">
        <f aca="false">IF(F372=0,"n/a",D372/F372)</f>
        <v>0.5</v>
      </c>
    </row>
    <row r="373" customFormat="false" ht="15" hidden="false" customHeight="true" outlineLevel="0" collapsed="false">
      <c r="A373" s="7" t="s">
        <v>119</v>
      </c>
      <c r="B373" s="7" t="s">
        <v>647</v>
      </c>
      <c r="C373" s="7" t="s">
        <v>120</v>
      </c>
      <c r="D373" s="8" t="n">
        <v>0</v>
      </c>
      <c r="E373" s="8" t="n">
        <v>2</v>
      </c>
      <c r="F373" s="8" t="n">
        <f aca="false">D373+E373</f>
        <v>2</v>
      </c>
      <c r="G373" s="23" t="n">
        <f aca="false">IF(F373=0,"n/a",D373/F373)</f>
        <v>0</v>
      </c>
    </row>
    <row r="374" customFormat="false" ht="15" hidden="false" customHeight="true" outlineLevel="0" collapsed="false">
      <c r="A374" s="7" t="s">
        <v>119</v>
      </c>
      <c r="B374" s="7" t="s">
        <v>648</v>
      </c>
      <c r="C374" s="7" t="s">
        <v>120</v>
      </c>
      <c r="D374" s="8" t="n">
        <v>2</v>
      </c>
      <c r="E374" s="8" t="n">
        <v>0</v>
      </c>
      <c r="F374" s="8" t="n">
        <f aca="false">D374+E374</f>
        <v>2</v>
      </c>
      <c r="G374" s="23" t="n">
        <f aca="false">IF(F374=0,"n/a",D374/F374)</f>
        <v>1</v>
      </c>
    </row>
    <row r="375" customFormat="false" ht="15" hidden="false" customHeight="true" outlineLevel="0" collapsed="false">
      <c r="A375" s="7" t="s">
        <v>119</v>
      </c>
      <c r="B375" s="7" t="s">
        <v>649</v>
      </c>
      <c r="C375" s="7" t="s">
        <v>120</v>
      </c>
      <c r="D375" s="8" t="n">
        <v>0</v>
      </c>
      <c r="E375" s="8" t="n">
        <v>2</v>
      </c>
      <c r="F375" s="8" t="n">
        <f aca="false">D375+E375</f>
        <v>2</v>
      </c>
      <c r="G375" s="23" t="n">
        <f aca="false">IF(F375=0,"n/a",D375/F375)</f>
        <v>0</v>
      </c>
    </row>
    <row r="376" customFormat="false" ht="15" hidden="false" customHeight="true" outlineLevel="0" collapsed="false">
      <c r="A376" s="7" t="s">
        <v>119</v>
      </c>
      <c r="B376" s="7" t="s">
        <v>650</v>
      </c>
      <c r="C376" s="7" t="s">
        <v>120</v>
      </c>
      <c r="D376" s="8" t="n">
        <v>1</v>
      </c>
      <c r="E376" s="8" t="n">
        <v>0</v>
      </c>
      <c r="F376" s="8" t="n">
        <f aca="false">D376+E376</f>
        <v>1</v>
      </c>
      <c r="G376" s="23" t="n">
        <f aca="false">IF(F376=0,"n/a",D376/F376)</f>
        <v>1</v>
      </c>
    </row>
    <row r="377" customFormat="false" ht="15" hidden="false" customHeight="true" outlineLevel="0" collapsed="false">
      <c r="A377" s="7" t="s">
        <v>119</v>
      </c>
      <c r="B377" s="7" t="s">
        <v>651</v>
      </c>
      <c r="C377" s="7" t="s">
        <v>120</v>
      </c>
      <c r="D377" s="8" t="n">
        <v>0</v>
      </c>
      <c r="E377" s="8" t="n">
        <v>1</v>
      </c>
      <c r="F377" s="8" t="n">
        <f aca="false">D377+E377</f>
        <v>1</v>
      </c>
      <c r="G377" s="23" t="n">
        <f aca="false">IF(F377=0,"n/a",D377/F377)</f>
        <v>0</v>
      </c>
    </row>
    <row r="378" customFormat="false" ht="15" hidden="false" customHeight="true" outlineLevel="0" collapsed="false">
      <c r="A378" s="7" t="s">
        <v>119</v>
      </c>
      <c r="B378" s="7" t="s">
        <v>652</v>
      </c>
      <c r="C378" s="7" t="s">
        <v>120</v>
      </c>
      <c r="D378" s="8" t="n">
        <v>0</v>
      </c>
      <c r="E378" s="8" t="n">
        <v>1</v>
      </c>
      <c r="F378" s="8" t="n">
        <f aca="false">D378+E378</f>
        <v>1</v>
      </c>
      <c r="G378" s="23" t="n">
        <f aca="false">IF(F378=0,"n/a",D378/F378)</f>
        <v>0</v>
      </c>
    </row>
    <row r="379" customFormat="false" ht="15" hidden="false" customHeight="true" outlineLevel="0" collapsed="false">
      <c r="A379" s="7" t="s">
        <v>119</v>
      </c>
      <c r="B379" s="7" t="s">
        <v>653</v>
      </c>
      <c r="C379" s="7" t="s">
        <v>120</v>
      </c>
      <c r="D379" s="8" t="n">
        <v>0</v>
      </c>
      <c r="E379" s="8" t="n">
        <v>1</v>
      </c>
      <c r="F379" s="8" t="n">
        <f aca="false">D379+E379</f>
        <v>1</v>
      </c>
      <c r="G379" s="23" t="n">
        <f aca="false">IF(F379=0,"n/a",D379/F379)</f>
        <v>0</v>
      </c>
    </row>
    <row r="380" customFormat="false" ht="15" hidden="false" customHeight="true" outlineLevel="0" collapsed="false">
      <c r="A380" s="7" t="s">
        <v>119</v>
      </c>
      <c r="B380" s="7" t="s">
        <v>569</v>
      </c>
      <c r="C380" s="7" t="s">
        <v>120</v>
      </c>
      <c r="D380" s="8" t="n">
        <v>0</v>
      </c>
      <c r="E380" s="8" t="n">
        <v>1</v>
      </c>
      <c r="F380" s="8" t="n">
        <f aca="false">D380+E380</f>
        <v>1</v>
      </c>
      <c r="G380" s="23" t="n">
        <f aca="false">IF(F380=0,"n/a",D380/F380)</f>
        <v>0</v>
      </c>
    </row>
    <row r="381" customFormat="false" ht="15" hidden="false" customHeight="true" outlineLevel="0" collapsed="false">
      <c r="A381" s="7" t="s">
        <v>119</v>
      </c>
      <c r="B381" s="7" t="s">
        <v>654</v>
      </c>
      <c r="C381" s="7" t="s">
        <v>120</v>
      </c>
      <c r="D381" s="8" t="n">
        <v>0</v>
      </c>
      <c r="E381" s="8" t="n">
        <v>1</v>
      </c>
      <c r="F381" s="8" t="n">
        <f aca="false">D381+E381</f>
        <v>1</v>
      </c>
      <c r="G381" s="23" t="n">
        <f aca="false">IF(F381=0,"n/a",D381/F381)</f>
        <v>0</v>
      </c>
    </row>
    <row r="382" customFormat="false" ht="15" hidden="false" customHeight="true" outlineLevel="0" collapsed="false">
      <c r="A382" s="7" t="s">
        <v>119</v>
      </c>
      <c r="B382" s="7" t="s">
        <v>655</v>
      </c>
      <c r="C382" s="7" t="s">
        <v>120</v>
      </c>
      <c r="D382" s="8" t="n">
        <v>1</v>
      </c>
      <c r="E382" s="8" t="n">
        <v>0</v>
      </c>
      <c r="F382" s="8" t="n">
        <f aca="false">D382+E382</f>
        <v>1</v>
      </c>
      <c r="G382" s="23" t="n">
        <f aca="false">IF(F382=0,"n/a",D382/F382)</f>
        <v>1</v>
      </c>
    </row>
    <row r="383" customFormat="false" ht="15" hidden="false" customHeight="true" outlineLevel="0" collapsed="false">
      <c r="A383" s="7" t="s">
        <v>119</v>
      </c>
      <c r="B383" s="7" t="s">
        <v>656</v>
      </c>
      <c r="C383" s="7" t="s">
        <v>120</v>
      </c>
      <c r="D383" s="8" t="n">
        <v>1</v>
      </c>
      <c r="E383" s="8" t="n">
        <v>0</v>
      </c>
      <c r="F383" s="8" t="n">
        <f aca="false">D383+E383</f>
        <v>1</v>
      </c>
      <c r="G383" s="23" t="n">
        <f aca="false">IF(F383=0,"n/a",D383/F383)</f>
        <v>1</v>
      </c>
    </row>
    <row r="384" customFormat="false" ht="15" hidden="false" customHeight="true" outlineLevel="0" collapsed="false">
      <c r="A384" s="7" t="s">
        <v>119</v>
      </c>
      <c r="B384" s="7" t="s">
        <v>657</v>
      </c>
      <c r="C384" s="7" t="s">
        <v>120</v>
      </c>
      <c r="D384" s="8" t="n">
        <v>0</v>
      </c>
      <c r="E384" s="8" t="n">
        <v>1</v>
      </c>
      <c r="F384" s="8" t="n">
        <f aca="false">D384+E384</f>
        <v>1</v>
      </c>
      <c r="G384" s="23" t="n">
        <f aca="false">IF(F384=0,"n/a",D384/F384)</f>
        <v>0</v>
      </c>
    </row>
    <row r="385" customFormat="false" ht="15" hidden="false" customHeight="true" outlineLevel="0" collapsed="false">
      <c r="A385" s="7" t="s">
        <v>119</v>
      </c>
      <c r="B385" s="7" t="s">
        <v>658</v>
      </c>
      <c r="C385" s="7" t="s">
        <v>120</v>
      </c>
      <c r="D385" s="8" t="n">
        <v>1</v>
      </c>
      <c r="E385" s="8" t="n">
        <v>0</v>
      </c>
      <c r="F385" s="8" t="n">
        <f aca="false">D385+E385</f>
        <v>1</v>
      </c>
      <c r="G385" s="23" t="n">
        <f aca="false">IF(F385=0,"n/a",D385/F385)</f>
        <v>1</v>
      </c>
    </row>
    <row r="386" customFormat="false" ht="15" hidden="false" customHeight="true" outlineLevel="0" collapsed="false">
      <c r="A386" s="7" t="s">
        <v>119</v>
      </c>
      <c r="B386" s="7" t="s">
        <v>659</v>
      </c>
      <c r="C386" s="7" t="s">
        <v>120</v>
      </c>
      <c r="D386" s="8" t="n">
        <v>0</v>
      </c>
      <c r="E386" s="8" t="n">
        <v>1</v>
      </c>
      <c r="F386" s="8" t="n">
        <f aca="false">D386+E386</f>
        <v>1</v>
      </c>
      <c r="G386" s="23" t="n">
        <f aca="false">IF(F386=0,"n/a",D386/F386)</f>
        <v>0</v>
      </c>
    </row>
    <row r="387" customFormat="false" ht="15" hidden="false" customHeight="true" outlineLevel="0" collapsed="false">
      <c r="A387" s="7" t="s">
        <v>119</v>
      </c>
      <c r="B387" s="7" t="s">
        <v>660</v>
      </c>
      <c r="C387" s="7" t="s">
        <v>120</v>
      </c>
      <c r="D387" s="8" t="n">
        <v>0</v>
      </c>
      <c r="E387" s="8" t="n">
        <v>1</v>
      </c>
      <c r="F387" s="8" t="n">
        <f aca="false">D387+E387</f>
        <v>1</v>
      </c>
      <c r="G387" s="23" t="n">
        <f aca="false">IF(F387=0,"n/a",D387/F387)</f>
        <v>0</v>
      </c>
    </row>
    <row r="388" customFormat="false" ht="15" hidden="false" customHeight="true" outlineLevel="0" collapsed="false">
      <c r="A388" s="7" t="s">
        <v>119</v>
      </c>
      <c r="B388" s="7" t="s">
        <v>661</v>
      </c>
      <c r="C388" s="7" t="s">
        <v>120</v>
      </c>
      <c r="D388" s="8" t="n">
        <v>0</v>
      </c>
      <c r="E388" s="8" t="n">
        <v>1</v>
      </c>
      <c r="F388" s="8" t="n">
        <f aca="false">D388+E388</f>
        <v>1</v>
      </c>
      <c r="G388" s="23" t="n">
        <f aca="false">IF(F388=0,"n/a",D388/F388)</f>
        <v>0</v>
      </c>
    </row>
    <row r="389" customFormat="false" ht="15" hidden="false" customHeight="true" outlineLevel="0" collapsed="false">
      <c r="A389" s="7" t="s">
        <v>119</v>
      </c>
      <c r="B389" s="7" t="s">
        <v>662</v>
      </c>
      <c r="C389" s="7" t="s">
        <v>120</v>
      </c>
      <c r="D389" s="8" t="n">
        <v>1</v>
      </c>
      <c r="E389" s="8" t="n">
        <v>0</v>
      </c>
      <c r="F389" s="8" t="n">
        <f aca="false">D389+E389</f>
        <v>1</v>
      </c>
      <c r="G389" s="23" t="n">
        <f aca="false">IF(F389=0,"n/a",D389/F389)</f>
        <v>1</v>
      </c>
    </row>
    <row r="390" customFormat="false" ht="15" hidden="false" customHeight="true" outlineLevel="0" collapsed="false">
      <c r="A390" s="7" t="s">
        <v>119</v>
      </c>
      <c r="B390" s="7" t="s">
        <v>663</v>
      </c>
      <c r="C390" s="7" t="s">
        <v>120</v>
      </c>
      <c r="D390" s="8" t="n">
        <v>0</v>
      </c>
      <c r="E390" s="8" t="n">
        <v>1</v>
      </c>
      <c r="F390" s="8" t="n">
        <f aca="false">D390+E390</f>
        <v>1</v>
      </c>
      <c r="G390" s="23" t="n">
        <f aca="false">IF(F390=0,"n/a",D390/F390)</f>
        <v>0</v>
      </c>
    </row>
    <row r="391" customFormat="false" ht="15" hidden="false" customHeight="true" outlineLevel="0" collapsed="false">
      <c r="A391" s="7" t="s">
        <v>119</v>
      </c>
      <c r="B391" s="7" t="s">
        <v>664</v>
      </c>
      <c r="C391" s="7" t="s">
        <v>120</v>
      </c>
      <c r="D391" s="8" t="n">
        <v>1</v>
      </c>
      <c r="E391" s="8" t="n">
        <v>0</v>
      </c>
      <c r="F391" s="8" t="n">
        <f aca="false">D391+E391</f>
        <v>1</v>
      </c>
      <c r="G391" s="23" t="n">
        <f aca="false">IF(F391=0,"n/a",D391/F391)</f>
        <v>1</v>
      </c>
    </row>
    <row r="392" customFormat="false" ht="15" hidden="false" customHeight="true" outlineLevel="0" collapsed="false">
      <c r="A392" s="7" t="s">
        <v>119</v>
      </c>
      <c r="B392" s="7" t="s">
        <v>665</v>
      </c>
      <c r="C392" s="7" t="s">
        <v>120</v>
      </c>
      <c r="D392" s="8" t="n">
        <v>0</v>
      </c>
      <c r="E392" s="8" t="n">
        <v>1</v>
      </c>
      <c r="F392" s="8" t="n">
        <f aca="false">D392+E392</f>
        <v>1</v>
      </c>
      <c r="G392" s="23" t="n">
        <f aca="false">IF(F392=0,"n/a",D392/F392)</f>
        <v>0</v>
      </c>
    </row>
    <row r="393" customFormat="false" ht="15" hidden="false" customHeight="true" outlineLevel="0" collapsed="false">
      <c r="A393" s="7" t="s">
        <v>119</v>
      </c>
      <c r="B393" s="7" t="s">
        <v>666</v>
      </c>
      <c r="C393" s="7" t="s">
        <v>120</v>
      </c>
      <c r="D393" s="8" t="n">
        <v>0</v>
      </c>
      <c r="E393" s="8" t="n">
        <v>1</v>
      </c>
      <c r="F393" s="8" t="n">
        <f aca="false">D393+E393</f>
        <v>1</v>
      </c>
      <c r="G393" s="23" t="n">
        <f aca="false">IF(F393=0,"n/a",D393/F393)</f>
        <v>0</v>
      </c>
    </row>
    <row r="394" customFormat="false" ht="15" hidden="false" customHeight="true" outlineLevel="0" collapsed="false">
      <c r="A394" s="7" t="s">
        <v>119</v>
      </c>
      <c r="B394" s="7" t="s">
        <v>667</v>
      </c>
      <c r="C394" s="7" t="s">
        <v>120</v>
      </c>
      <c r="D394" s="8" t="n">
        <v>1</v>
      </c>
      <c r="E394" s="8" t="n">
        <v>0</v>
      </c>
      <c r="F394" s="8" t="n">
        <f aca="false">D394+E394</f>
        <v>1</v>
      </c>
      <c r="G394" s="23" t="n">
        <f aca="false">IF(F394=0,"n/a",D394/F394)</f>
        <v>1</v>
      </c>
    </row>
    <row r="395" customFormat="false" ht="15" hidden="false" customHeight="true" outlineLevel="0" collapsed="false">
      <c r="A395" s="7" t="s">
        <v>119</v>
      </c>
      <c r="B395" s="7" t="s">
        <v>668</v>
      </c>
      <c r="C395" s="7" t="s">
        <v>120</v>
      </c>
      <c r="D395" s="8" t="n">
        <v>0</v>
      </c>
      <c r="E395" s="8" t="n">
        <v>1</v>
      </c>
      <c r="F395" s="8" t="n">
        <f aca="false">D395+E395</f>
        <v>1</v>
      </c>
      <c r="G395" s="23" t="n">
        <f aca="false">IF(F395=0,"n/a",D395/F395)</f>
        <v>0</v>
      </c>
    </row>
    <row r="396" customFormat="false" ht="15" hidden="false" customHeight="true" outlineLevel="0" collapsed="false">
      <c r="A396" s="7" t="s">
        <v>119</v>
      </c>
      <c r="B396" s="7" t="s">
        <v>669</v>
      </c>
      <c r="C396" s="7" t="s">
        <v>120</v>
      </c>
      <c r="D396" s="8" t="n">
        <v>0</v>
      </c>
      <c r="E396" s="8" t="n">
        <v>1</v>
      </c>
      <c r="F396" s="8" t="n">
        <f aca="false">D396+E396</f>
        <v>1</v>
      </c>
      <c r="G396" s="23" t="n">
        <f aca="false">IF(F396=0,"n/a",D396/F396)</f>
        <v>0</v>
      </c>
    </row>
    <row r="397" customFormat="false" ht="15" hidden="false" customHeight="true" outlineLevel="0" collapsed="false">
      <c r="A397" s="7" t="s">
        <v>119</v>
      </c>
      <c r="B397" s="7" t="s">
        <v>670</v>
      </c>
      <c r="C397" s="7" t="s">
        <v>120</v>
      </c>
      <c r="D397" s="8" t="n">
        <v>0</v>
      </c>
      <c r="E397" s="8" t="n">
        <v>1</v>
      </c>
      <c r="F397" s="8" t="n">
        <f aca="false">D397+E397</f>
        <v>1</v>
      </c>
      <c r="G397" s="23" t="n">
        <f aca="false">IF(F397=0,"n/a",D397/F397)</f>
        <v>0</v>
      </c>
    </row>
    <row r="398" customFormat="false" ht="15" hidden="false" customHeight="true" outlineLevel="0" collapsed="false">
      <c r="A398" s="7" t="s">
        <v>119</v>
      </c>
      <c r="B398" s="7" t="s">
        <v>671</v>
      </c>
      <c r="C398" s="7" t="s">
        <v>120</v>
      </c>
      <c r="D398" s="8" t="n">
        <v>0</v>
      </c>
      <c r="E398" s="8" t="n">
        <v>1</v>
      </c>
      <c r="F398" s="8" t="n">
        <f aca="false">D398+E398</f>
        <v>1</v>
      </c>
      <c r="G398" s="23" t="n">
        <f aca="false">IF(F398=0,"n/a",D398/F398)</f>
        <v>0</v>
      </c>
    </row>
    <row r="399" customFormat="false" ht="15" hidden="false" customHeight="true" outlineLevel="0" collapsed="false">
      <c r="A399" s="7" t="s">
        <v>121</v>
      </c>
      <c r="B399" s="7" t="s">
        <v>672</v>
      </c>
      <c r="C399" s="7" t="s">
        <v>122</v>
      </c>
      <c r="D399" s="8" t="n">
        <v>5</v>
      </c>
      <c r="E399" s="8" t="n">
        <v>32</v>
      </c>
      <c r="F399" s="8" t="n">
        <f aca="false">D399+E399</f>
        <v>37</v>
      </c>
      <c r="G399" s="23" t="n">
        <f aca="false">IF(F399=0,"n/a",D399/F399)</f>
        <v>0.135135135135135</v>
      </c>
    </row>
    <row r="400" customFormat="false" ht="15" hidden="false" customHeight="true" outlineLevel="0" collapsed="false">
      <c r="A400" s="7" t="s">
        <v>121</v>
      </c>
      <c r="B400" s="7" t="s">
        <v>367</v>
      </c>
      <c r="C400" s="7" t="s">
        <v>122</v>
      </c>
      <c r="D400" s="8" t="n">
        <v>1</v>
      </c>
      <c r="E400" s="8" t="n">
        <v>14</v>
      </c>
      <c r="F400" s="8" t="n">
        <f aca="false">D400+E400</f>
        <v>15</v>
      </c>
      <c r="G400" s="23" t="n">
        <f aca="false">IF(F400=0,"n/a",D400/F400)</f>
        <v>0.0666666666666667</v>
      </c>
    </row>
    <row r="401" customFormat="false" ht="15" hidden="false" customHeight="true" outlineLevel="0" collapsed="false">
      <c r="A401" s="7" t="s">
        <v>121</v>
      </c>
      <c r="B401" s="7" t="s">
        <v>673</v>
      </c>
      <c r="C401" s="7" t="s">
        <v>122</v>
      </c>
      <c r="D401" s="8" t="n">
        <v>4</v>
      </c>
      <c r="E401" s="8" t="n">
        <v>9</v>
      </c>
      <c r="F401" s="8" t="n">
        <f aca="false">D401+E401</f>
        <v>13</v>
      </c>
      <c r="G401" s="23" t="n">
        <f aca="false">IF(F401=0,"n/a",D401/F401)</f>
        <v>0.307692307692308</v>
      </c>
    </row>
    <row r="402" customFormat="false" ht="15" hidden="false" customHeight="true" outlineLevel="0" collapsed="false">
      <c r="A402" s="7" t="s">
        <v>121</v>
      </c>
      <c r="B402" s="7" t="s">
        <v>674</v>
      </c>
      <c r="C402" s="7" t="s">
        <v>122</v>
      </c>
      <c r="D402" s="8" t="n">
        <v>0</v>
      </c>
      <c r="E402" s="8" t="n">
        <v>13</v>
      </c>
      <c r="F402" s="8" t="n">
        <f aca="false">D402+E402</f>
        <v>13</v>
      </c>
      <c r="G402" s="23" t="n">
        <f aca="false">IF(F402=0,"n/a",D402/F402)</f>
        <v>0</v>
      </c>
    </row>
    <row r="403" customFormat="false" ht="15" hidden="false" customHeight="true" outlineLevel="0" collapsed="false">
      <c r="A403" s="7" t="s">
        <v>121</v>
      </c>
      <c r="B403" s="7" t="s">
        <v>483</v>
      </c>
      <c r="C403" s="7" t="s">
        <v>122</v>
      </c>
      <c r="D403" s="8" t="n">
        <v>4</v>
      </c>
      <c r="E403" s="8" t="n">
        <v>7</v>
      </c>
      <c r="F403" s="8" t="n">
        <f aca="false">D403+E403</f>
        <v>11</v>
      </c>
      <c r="G403" s="23" t="n">
        <f aca="false">IF(F403=0,"n/a",D403/F403)</f>
        <v>0.363636363636364</v>
      </c>
    </row>
    <row r="404" customFormat="false" ht="15" hidden="false" customHeight="true" outlineLevel="0" collapsed="false">
      <c r="A404" s="7" t="s">
        <v>121</v>
      </c>
      <c r="B404" s="7" t="s">
        <v>675</v>
      </c>
      <c r="C404" s="7" t="s">
        <v>122</v>
      </c>
      <c r="D404" s="8" t="n">
        <v>0</v>
      </c>
      <c r="E404" s="8" t="n">
        <v>7</v>
      </c>
      <c r="F404" s="8" t="n">
        <f aca="false">D404+E404</f>
        <v>7</v>
      </c>
      <c r="G404" s="23" t="n">
        <f aca="false">IF(F404=0,"n/a",D404/F404)</f>
        <v>0</v>
      </c>
    </row>
    <row r="405" customFormat="false" ht="15" hidden="false" customHeight="true" outlineLevel="0" collapsed="false">
      <c r="A405" s="7" t="s">
        <v>121</v>
      </c>
      <c r="B405" s="7" t="s">
        <v>635</v>
      </c>
      <c r="C405" s="7" t="s">
        <v>122</v>
      </c>
      <c r="D405" s="8" t="n">
        <v>6</v>
      </c>
      <c r="E405" s="8" t="n">
        <v>0</v>
      </c>
      <c r="F405" s="8" t="n">
        <f aca="false">D405+E405</f>
        <v>6</v>
      </c>
      <c r="G405" s="23" t="n">
        <f aca="false">IF(F405=0,"n/a",D405/F405)</f>
        <v>1</v>
      </c>
    </row>
    <row r="406" customFormat="false" ht="15" hidden="false" customHeight="true" outlineLevel="0" collapsed="false">
      <c r="A406" s="7" t="s">
        <v>121</v>
      </c>
      <c r="B406" s="7" t="s">
        <v>557</v>
      </c>
      <c r="C406" s="7" t="s">
        <v>122</v>
      </c>
      <c r="D406" s="8" t="n">
        <v>6</v>
      </c>
      <c r="E406" s="8" t="n">
        <v>0</v>
      </c>
      <c r="F406" s="8" t="n">
        <f aca="false">D406+E406</f>
        <v>6</v>
      </c>
      <c r="G406" s="23" t="n">
        <f aca="false">IF(F406=0,"n/a",D406/F406)</f>
        <v>1</v>
      </c>
    </row>
    <row r="407" customFormat="false" ht="15" hidden="false" customHeight="true" outlineLevel="0" collapsed="false">
      <c r="A407" s="7" t="s">
        <v>121</v>
      </c>
      <c r="B407" s="7" t="s">
        <v>676</v>
      </c>
      <c r="C407" s="7" t="s">
        <v>122</v>
      </c>
      <c r="D407" s="8" t="n">
        <v>0</v>
      </c>
      <c r="E407" s="8" t="n">
        <v>5</v>
      </c>
      <c r="F407" s="8" t="n">
        <f aca="false">D407+E407</f>
        <v>5</v>
      </c>
      <c r="G407" s="23" t="n">
        <f aca="false">IF(F407=0,"n/a",D407/F407)</f>
        <v>0</v>
      </c>
    </row>
    <row r="408" customFormat="false" ht="15" hidden="false" customHeight="true" outlineLevel="0" collapsed="false">
      <c r="A408" s="7" t="s">
        <v>121</v>
      </c>
      <c r="B408" s="7" t="s">
        <v>677</v>
      </c>
      <c r="C408" s="7" t="s">
        <v>122</v>
      </c>
      <c r="D408" s="8" t="n">
        <v>0</v>
      </c>
      <c r="E408" s="8" t="n">
        <v>5</v>
      </c>
      <c r="F408" s="8" t="n">
        <f aca="false">D408+E408</f>
        <v>5</v>
      </c>
      <c r="G408" s="23" t="n">
        <f aca="false">IF(F408=0,"n/a",D408/F408)</f>
        <v>0</v>
      </c>
    </row>
    <row r="409" customFormat="false" ht="15" hidden="false" customHeight="true" outlineLevel="0" collapsed="false">
      <c r="A409" s="7" t="s">
        <v>121</v>
      </c>
      <c r="B409" s="7" t="s">
        <v>678</v>
      </c>
      <c r="C409" s="7" t="s">
        <v>122</v>
      </c>
      <c r="D409" s="8" t="n">
        <v>5</v>
      </c>
      <c r="E409" s="8" t="n">
        <v>0</v>
      </c>
      <c r="F409" s="8" t="n">
        <f aca="false">D409+E409</f>
        <v>5</v>
      </c>
      <c r="G409" s="23" t="n">
        <f aca="false">IF(F409=0,"n/a",D409/F409)</f>
        <v>1</v>
      </c>
    </row>
    <row r="410" customFormat="false" ht="15" hidden="false" customHeight="true" outlineLevel="0" collapsed="false">
      <c r="A410" s="7" t="s">
        <v>121</v>
      </c>
      <c r="B410" s="7" t="s">
        <v>679</v>
      </c>
      <c r="C410" s="7" t="s">
        <v>122</v>
      </c>
      <c r="D410" s="8" t="n">
        <v>3</v>
      </c>
      <c r="E410" s="8" t="n">
        <v>1</v>
      </c>
      <c r="F410" s="8" t="n">
        <f aca="false">D410+E410</f>
        <v>4</v>
      </c>
      <c r="G410" s="23" t="n">
        <f aca="false">IF(F410=0,"n/a",D410/F410)</f>
        <v>0.75</v>
      </c>
    </row>
    <row r="411" customFormat="false" ht="15" hidden="false" customHeight="true" outlineLevel="0" collapsed="false">
      <c r="A411" s="7" t="s">
        <v>121</v>
      </c>
      <c r="B411" s="7" t="s">
        <v>680</v>
      </c>
      <c r="C411" s="7" t="s">
        <v>122</v>
      </c>
      <c r="D411" s="8" t="n">
        <v>4</v>
      </c>
      <c r="E411" s="8" t="n">
        <v>0</v>
      </c>
      <c r="F411" s="8" t="n">
        <f aca="false">D411+E411</f>
        <v>4</v>
      </c>
      <c r="G411" s="23" t="n">
        <f aca="false">IF(F411=0,"n/a",D411/F411)</f>
        <v>1</v>
      </c>
    </row>
    <row r="412" customFormat="false" ht="15" hidden="false" customHeight="true" outlineLevel="0" collapsed="false">
      <c r="A412" s="7" t="s">
        <v>121</v>
      </c>
      <c r="B412" s="7" t="s">
        <v>681</v>
      </c>
      <c r="C412" s="7" t="s">
        <v>122</v>
      </c>
      <c r="D412" s="8" t="n">
        <v>1</v>
      </c>
      <c r="E412" s="8" t="n">
        <v>3</v>
      </c>
      <c r="F412" s="8" t="n">
        <f aca="false">D412+E412</f>
        <v>4</v>
      </c>
      <c r="G412" s="23" t="n">
        <f aca="false">IF(F412=0,"n/a",D412/F412)</f>
        <v>0.25</v>
      </c>
    </row>
    <row r="413" customFormat="false" ht="15" hidden="false" customHeight="true" outlineLevel="0" collapsed="false">
      <c r="A413" s="7" t="s">
        <v>121</v>
      </c>
      <c r="B413" s="7" t="s">
        <v>302</v>
      </c>
      <c r="C413" s="7" t="s">
        <v>122</v>
      </c>
      <c r="D413" s="8" t="n">
        <v>3</v>
      </c>
      <c r="E413" s="8" t="n">
        <v>0</v>
      </c>
      <c r="F413" s="8" t="n">
        <f aca="false">D413+E413</f>
        <v>3</v>
      </c>
      <c r="G413" s="23" t="n">
        <f aca="false">IF(F413=0,"n/a",D413/F413)</f>
        <v>1</v>
      </c>
    </row>
    <row r="414" customFormat="false" ht="15" hidden="false" customHeight="true" outlineLevel="0" collapsed="false">
      <c r="A414" s="7" t="s">
        <v>121</v>
      </c>
      <c r="B414" s="7" t="s">
        <v>682</v>
      </c>
      <c r="C414" s="7" t="s">
        <v>122</v>
      </c>
      <c r="D414" s="8" t="n">
        <v>0</v>
      </c>
      <c r="E414" s="8" t="n">
        <v>3</v>
      </c>
      <c r="F414" s="8" t="n">
        <f aca="false">D414+E414</f>
        <v>3</v>
      </c>
      <c r="G414" s="23" t="n">
        <f aca="false">IF(F414=0,"n/a",D414/F414)</f>
        <v>0</v>
      </c>
    </row>
    <row r="415" customFormat="false" ht="15" hidden="false" customHeight="true" outlineLevel="0" collapsed="false">
      <c r="A415" s="7" t="s">
        <v>121</v>
      </c>
      <c r="B415" s="7" t="s">
        <v>683</v>
      </c>
      <c r="C415" s="7" t="s">
        <v>122</v>
      </c>
      <c r="D415" s="8" t="n">
        <v>3</v>
      </c>
      <c r="E415" s="8" t="n">
        <v>0</v>
      </c>
      <c r="F415" s="8" t="n">
        <f aca="false">D415+E415</f>
        <v>3</v>
      </c>
      <c r="G415" s="23" t="n">
        <f aca="false">IF(F415=0,"n/a",D415/F415)</f>
        <v>1</v>
      </c>
    </row>
    <row r="416" customFormat="false" ht="15" hidden="false" customHeight="true" outlineLevel="0" collapsed="false">
      <c r="A416" s="7" t="s">
        <v>121</v>
      </c>
      <c r="B416" s="7" t="s">
        <v>684</v>
      </c>
      <c r="C416" s="7" t="s">
        <v>122</v>
      </c>
      <c r="D416" s="8" t="n">
        <v>0</v>
      </c>
      <c r="E416" s="8" t="n">
        <v>3</v>
      </c>
      <c r="F416" s="8" t="n">
        <f aca="false">D416+E416</f>
        <v>3</v>
      </c>
      <c r="G416" s="23" t="n">
        <f aca="false">IF(F416=0,"n/a",D416/F416)</f>
        <v>0</v>
      </c>
    </row>
    <row r="417" customFormat="false" ht="15" hidden="false" customHeight="true" outlineLevel="0" collapsed="false">
      <c r="A417" s="7" t="s">
        <v>121</v>
      </c>
      <c r="B417" s="7" t="s">
        <v>685</v>
      </c>
      <c r="C417" s="7" t="s">
        <v>122</v>
      </c>
      <c r="D417" s="8" t="n">
        <v>2</v>
      </c>
      <c r="E417" s="8" t="n">
        <v>0</v>
      </c>
      <c r="F417" s="8" t="n">
        <f aca="false">D417+E417</f>
        <v>2</v>
      </c>
      <c r="G417" s="23" t="n">
        <f aca="false">IF(F417=0,"n/a",D417/F417)</f>
        <v>1</v>
      </c>
    </row>
    <row r="418" customFormat="false" ht="15" hidden="false" customHeight="true" outlineLevel="0" collapsed="false">
      <c r="A418" s="7" t="s">
        <v>121</v>
      </c>
      <c r="B418" s="7" t="s">
        <v>320</v>
      </c>
      <c r="C418" s="7" t="s">
        <v>122</v>
      </c>
      <c r="D418" s="8" t="n">
        <v>0</v>
      </c>
      <c r="E418" s="8" t="n">
        <v>2</v>
      </c>
      <c r="F418" s="8" t="n">
        <f aca="false">D418+E418</f>
        <v>2</v>
      </c>
      <c r="G418" s="23" t="n">
        <f aca="false">IF(F418=0,"n/a",D418/F418)</f>
        <v>0</v>
      </c>
    </row>
    <row r="419" customFormat="false" ht="15" hidden="false" customHeight="true" outlineLevel="0" collapsed="false">
      <c r="A419" s="7" t="s">
        <v>121</v>
      </c>
      <c r="B419" s="7" t="s">
        <v>686</v>
      </c>
      <c r="C419" s="7" t="s">
        <v>122</v>
      </c>
      <c r="D419" s="8" t="n">
        <v>0</v>
      </c>
      <c r="E419" s="8" t="n">
        <v>2</v>
      </c>
      <c r="F419" s="8" t="n">
        <f aca="false">D419+E419</f>
        <v>2</v>
      </c>
      <c r="G419" s="23" t="n">
        <f aca="false">IF(F419=0,"n/a",D419/F419)</f>
        <v>0</v>
      </c>
    </row>
    <row r="420" customFormat="false" ht="15" hidden="false" customHeight="true" outlineLevel="0" collapsed="false">
      <c r="A420" s="7" t="s">
        <v>121</v>
      </c>
      <c r="B420" s="7" t="s">
        <v>687</v>
      </c>
      <c r="C420" s="7" t="s">
        <v>122</v>
      </c>
      <c r="D420" s="8" t="n">
        <v>1</v>
      </c>
      <c r="E420" s="8" t="n">
        <v>1</v>
      </c>
      <c r="F420" s="8" t="n">
        <f aca="false">D420+E420</f>
        <v>2</v>
      </c>
      <c r="G420" s="23" t="n">
        <f aca="false">IF(F420=0,"n/a",D420/F420)</f>
        <v>0.5</v>
      </c>
    </row>
    <row r="421" customFormat="false" ht="15" hidden="false" customHeight="true" outlineLevel="0" collapsed="false">
      <c r="A421" s="7" t="s">
        <v>121</v>
      </c>
      <c r="B421" s="7" t="s">
        <v>688</v>
      </c>
      <c r="C421" s="7" t="s">
        <v>122</v>
      </c>
      <c r="D421" s="8" t="n">
        <v>0</v>
      </c>
      <c r="E421" s="8" t="n">
        <v>2</v>
      </c>
      <c r="F421" s="8" t="n">
        <f aca="false">D421+E421</f>
        <v>2</v>
      </c>
      <c r="G421" s="23" t="n">
        <f aca="false">IF(F421=0,"n/a",D421/F421)</f>
        <v>0</v>
      </c>
    </row>
    <row r="422" customFormat="false" ht="15" hidden="false" customHeight="true" outlineLevel="0" collapsed="false">
      <c r="A422" s="7" t="s">
        <v>121</v>
      </c>
      <c r="B422" s="7" t="s">
        <v>689</v>
      </c>
      <c r="C422" s="7" t="s">
        <v>122</v>
      </c>
      <c r="D422" s="8" t="n">
        <v>0</v>
      </c>
      <c r="E422" s="8" t="n">
        <v>2</v>
      </c>
      <c r="F422" s="8" t="n">
        <f aca="false">D422+E422</f>
        <v>2</v>
      </c>
      <c r="G422" s="23" t="n">
        <f aca="false">IF(F422=0,"n/a",D422/F422)</f>
        <v>0</v>
      </c>
    </row>
    <row r="423" customFormat="false" ht="15" hidden="false" customHeight="true" outlineLevel="0" collapsed="false">
      <c r="A423" s="7" t="s">
        <v>121</v>
      </c>
      <c r="B423" s="7" t="s">
        <v>661</v>
      </c>
      <c r="C423" s="7" t="s">
        <v>122</v>
      </c>
      <c r="D423" s="8" t="n">
        <v>2</v>
      </c>
      <c r="E423" s="8" t="n">
        <v>0</v>
      </c>
      <c r="F423" s="8" t="n">
        <f aca="false">D423+E423</f>
        <v>2</v>
      </c>
      <c r="G423" s="23" t="n">
        <f aca="false">IF(F423=0,"n/a",D423/F423)</f>
        <v>1</v>
      </c>
    </row>
    <row r="424" customFormat="false" ht="15" hidden="false" customHeight="true" outlineLevel="0" collapsed="false">
      <c r="A424" s="7" t="s">
        <v>121</v>
      </c>
      <c r="B424" s="7" t="s">
        <v>690</v>
      </c>
      <c r="C424" s="7" t="s">
        <v>122</v>
      </c>
      <c r="D424" s="8" t="n">
        <v>0</v>
      </c>
      <c r="E424" s="8" t="n">
        <v>2</v>
      </c>
      <c r="F424" s="8" t="n">
        <f aca="false">D424+E424</f>
        <v>2</v>
      </c>
      <c r="G424" s="23" t="n">
        <f aca="false">IF(F424=0,"n/a",D424/F424)</f>
        <v>0</v>
      </c>
    </row>
    <row r="425" customFormat="false" ht="15" hidden="false" customHeight="true" outlineLevel="0" collapsed="false">
      <c r="A425" s="7" t="s">
        <v>121</v>
      </c>
      <c r="B425" s="7" t="s">
        <v>691</v>
      </c>
      <c r="C425" s="7" t="s">
        <v>122</v>
      </c>
      <c r="D425" s="8" t="n">
        <v>0</v>
      </c>
      <c r="E425" s="8" t="n">
        <v>2</v>
      </c>
      <c r="F425" s="8" t="n">
        <f aca="false">D425+E425</f>
        <v>2</v>
      </c>
      <c r="G425" s="23" t="n">
        <f aca="false">IF(F425=0,"n/a",D425/F425)</f>
        <v>0</v>
      </c>
    </row>
    <row r="426" customFormat="false" ht="15" hidden="false" customHeight="true" outlineLevel="0" collapsed="false">
      <c r="A426" s="7" t="s">
        <v>121</v>
      </c>
      <c r="B426" s="7" t="s">
        <v>692</v>
      </c>
      <c r="C426" s="7" t="s">
        <v>122</v>
      </c>
      <c r="D426" s="8" t="n">
        <v>0</v>
      </c>
      <c r="E426" s="8" t="n">
        <v>1</v>
      </c>
      <c r="F426" s="8" t="n">
        <f aca="false">D426+E426</f>
        <v>1</v>
      </c>
      <c r="G426" s="23" t="n">
        <f aca="false">IF(F426=0,"n/a",D426/F426)</f>
        <v>0</v>
      </c>
    </row>
    <row r="427" customFormat="false" ht="15" hidden="false" customHeight="true" outlineLevel="0" collapsed="false">
      <c r="A427" s="7" t="s">
        <v>121</v>
      </c>
      <c r="B427" s="7" t="s">
        <v>296</v>
      </c>
      <c r="C427" s="7" t="s">
        <v>122</v>
      </c>
      <c r="D427" s="8" t="n">
        <v>0</v>
      </c>
      <c r="E427" s="8" t="n">
        <v>1</v>
      </c>
      <c r="F427" s="8" t="n">
        <f aca="false">D427+E427</f>
        <v>1</v>
      </c>
      <c r="G427" s="23" t="n">
        <f aca="false">IF(F427=0,"n/a",D427/F427)</f>
        <v>0</v>
      </c>
    </row>
    <row r="428" customFormat="false" ht="15" hidden="false" customHeight="true" outlineLevel="0" collapsed="false">
      <c r="A428" s="7" t="s">
        <v>121</v>
      </c>
      <c r="B428" s="7" t="s">
        <v>693</v>
      </c>
      <c r="C428" s="7" t="s">
        <v>122</v>
      </c>
      <c r="D428" s="8" t="n">
        <v>1</v>
      </c>
      <c r="E428" s="8" t="n">
        <v>0</v>
      </c>
      <c r="F428" s="8" t="n">
        <f aca="false">D428+E428</f>
        <v>1</v>
      </c>
      <c r="G428" s="23" t="n">
        <f aca="false">IF(F428=0,"n/a",D428/F428)</f>
        <v>1</v>
      </c>
    </row>
    <row r="429" customFormat="false" ht="15" hidden="false" customHeight="true" outlineLevel="0" collapsed="false">
      <c r="A429" s="7" t="s">
        <v>121</v>
      </c>
      <c r="B429" s="7" t="s">
        <v>569</v>
      </c>
      <c r="C429" s="7" t="s">
        <v>122</v>
      </c>
      <c r="D429" s="8" t="n">
        <v>1</v>
      </c>
      <c r="E429" s="8" t="n">
        <v>0</v>
      </c>
      <c r="F429" s="8" t="n">
        <f aca="false">D429+E429</f>
        <v>1</v>
      </c>
      <c r="G429" s="23" t="n">
        <f aca="false">IF(F429=0,"n/a",D429/F429)</f>
        <v>1</v>
      </c>
    </row>
    <row r="430" customFormat="false" ht="15" hidden="false" customHeight="true" outlineLevel="0" collapsed="false">
      <c r="A430" s="7" t="s">
        <v>121</v>
      </c>
      <c r="B430" s="7" t="s">
        <v>694</v>
      </c>
      <c r="C430" s="7" t="s">
        <v>122</v>
      </c>
      <c r="D430" s="8" t="n">
        <v>1</v>
      </c>
      <c r="E430" s="8" t="n">
        <v>0</v>
      </c>
      <c r="F430" s="8" t="n">
        <f aca="false">D430+E430</f>
        <v>1</v>
      </c>
      <c r="G430" s="23" t="n">
        <f aca="false">IF(F430=0,"n/a",D430/F430)</f>
        <v>1</v>
      </c>
    </row>
    <row r="431" customFormat="false" ht="15" hidden="false" customHeight="true" outlineLevel="0" collapsed="false">
      <c r="A431" s="7" t="s">
        <v>121</v>
      </c>
      <c r="B431" s="7" t="s">
        <v>695</v>
      </c>
      <c r="C431" s="7" t="s">
        <v>122</v>
      </c>
      <c r="D431" s="8" t="n">
        <v>1</v>
      </c>
      <c r="E431" s="8" t="n">
        <v>0</v>
      </c>
      <c r="F431" s="8" t="n">
        <f aca="false">D431+E431</f>
        <v>1</v>
      </c>
      <c r="G431" s="23" t="n">
        <f aca="false">IF(F431=0,"n/a",D431/F431)</f>
        <v>1</v>
      </c>
    </row>
    <row r="432" customFormat="false" ht="15" hidden="false" customHeight="true" outlineLevel="0" collapsed="false">
      <c r="A432" s="7" t="s">
        <v>121</v>
      </c>
      <c r="B432" s="7" t="s">
        <v>696</v>
      </c>
      <c r="C432" s="7" t="s">
        <v>122</v>
      </c>
      <c r="D432" s="8" t="n">
        <v>0</v>
      </c>
      <c r="E432" s="8" t="n">
        <v>1</v>
      </c>
      <c r="F432" s="8" t="n">
        <f aca="false">D432+E432</f>
        <v>1</v>
      </c>
      <c r="G432" s="23" t="n">
        <f aca="false">IF(F432=0,"n/a",D432/F432)</f>
        <v>0</v>
      </c>
    </row>
    <row r="433" customFormat="false" ht="15" hidden="false" customHeight="true" outlineLevel="0" collapsed="false">
      <c r="A433" s="7" t="s">
        <v>121</v>
      </c>
      <c r="B433" s="7" t="s">
        <v>697</v>
      </c>
      <c r="C433" s="7" t="s">
        <v>122</v>
      </c>
      <c r="D433" s="8" t="n">
        <v>1</v>
      </c>
      <c r="E433" s="8" t="n">
        <v>0</v>
      </c>
      <c r="F433" s="8" t="n">
        <f aca="false">D433+E433</f>
        <v>1</v>
      </c>
      <c r="G433" s="23" t="n">
        <f aca="false">IF(F433=0,"n/a",D433/F433)</f>
        <v>1</v>
      </c>
    </row>
    <row r="434" customFormat="false" ht="15" hidden="false" customHeight="true" outlineLevel="0" collapsed="false">
      <c r="A434" s="7" t="s">
        <v>121</v>
      </c>
      <c r="B434" s="7" t="s">
        <v>698</v>
      </c>
      <c r="C434" s="7" t="s">
        <v>122</v>
      </c>
      <c r="D434" s="8" t="n">
        <v>1</v>
      </c>
      <c r="E434" s="8" t="n">
        <v>0</v>
      </c>
      <c r="F434" s="8" t="n">
        <f aca="false">D434+E434</f>
        <v>1</v>
      </c>
      <c r="G434" s="23" t="n">
        <f aca="false">IF(F434=0,"n/a",D434/F434)</f>
        <v>1</v>
      </c>
    </row>
    <row r="435" customFormat="false" ht="15" hidden="false" customHeight="true" outlineLevel="0" collapsed="false">
      <c r="A435" s="7" t="s">
        <v>121</v>
      </c>
      <c r="B435" s="7" t="s">
        <v>699</v>
      </c>
      <c r="C435" s="7" t="s">
        <v>122</v>
      </c>
      <c r="D435" s="8" t="n">
        <v>1</v>
      </c>
      <c r="E435" s="8" t="n">
        <v>0</v>
      </c>
      <c r="F435" s="8" t="n">
        <f aca="false">D435+E435</f>
        <v>1</v>
      </c>
      <c r="G435" s="23" t="n">
        <f aca="false">IF(F435=0,"n/a",D435/F435)</f>
        <v>1</v>
      </c>
    </row>
    <row r="436" customFormat="false" ht="15" hidden="false" customHeight="true" outlineLevel="0" collapsed="false">
      <c r="A436" s="7" t="s">
        <v>121</v>
      </c>
      <c r="B436" s="7" t="s">
        <v>700</v>
      </c>
      <c r="C436" s="7" t="s">
        <v>122</v>
      </c>
      <c r="D436" s="8" t="n">
        <v>0</v>
      </c>
      <c r="E436" s="8" t="n">
        <v>1</v>
      </c>
      <c r="F436" s="8" t="n">
        <f aca="false">D436+E436</f>
        <v>1</v>
      </c>
      <c r="G436" s="23" t="n">
        <f aca="false">IF(F436=0,"n/a",D436/F436)</f>
        <v>0</v>
      </c>
    </row>
    <row r="437" customFormat="false" ht="15" hidden="false" customHeight="true" outlineLevel="0" collapsed="false">
      <c r="A437" s="7" t="s">
        <v>121</v>
      </c>
      <c r="B437" s="7" t="s">
        <v>701</v>
      </c>
      <c r="C437" s="7" t="s">
        <v>122</v>
      </c>
      <c r="D437" s="8" t="n">
        <v>0</v>
      </c>
      <c r="E437" s="8" t="n">
        <v>1</v>
      </c>
      <c r="F437" s="8" t="n">
        <f aca="false">D437+E437</f>
        <v>1</v>
      </c>
      <c r="G437" s="23" t="n">
        <f aca="false">IF(F437=0,"n/a",D437/F437)</f>
        <v>0</v>
      </c>
    </row>
    <row r="438" customFormat="false" ht="15" hidden="false" customHeight="true" outlineLevel="0" collapsed="false">
      <c r="A438" s="7" t="s">
        <v>121</v>
      </c>
      <c r="B438" s="7" t="s">
        <v>702</v>
      </c>
      <c r="C438" s="7" t="s">
        <v>122</v>
      </c>
      <c r="D438" s="8" t="n">
        <v>1</v>
      </c>
      <c r="E438" s="8" t="n">
        <v>0</v>
      </c>
      <c r="F438" s="8" t="n">
        <f aca="false">D438+E438</f>
        <v>1</v>
      </c>
      <c r="G438" s="23" t="n">
        <f aca="false">IF(F438=0,"n/a",D438/F438)</f>
        <v>1</v>
      </c>
    </row>
    <row r="439" customFormat="false" ht="15" hidden="false" customHeight="true" outlineLevel="0" collapsed="false">
      <c r="A439" s="7" t="s">
        <v>121</v>
      </c>
      <c r="B439" s="7" t="s">
        <v>703</v>
      </c>
      <c r="C439" s="7" t="s">
        <v>122</v>
      </c>
      <c r="D439" s="8" t="n">
        <v>1</v>
      </c>
      <c r="E439" s="8" t="n">
        <v>0</v>
      </c>
      <c r="F439" s="8" t="n">
        <f aca="false">D439+E439</f>
        <v>1</v>
      </c>
      <c r="G439" s="23" t="n">
        <f aca="false">IF(F439=0,"n/a",D439/F439)</f>
        <v>1</v>
      </c>
    </row>
    <row r="440" customFormat="false" ht="15" hidden="false" customHeight="true" outlineLevel="0" collapsed="false">
      <c r="A440" s="7" t="s">
        <v>121</v>
      </c>
      <c r="B440" s="7" t="s">
        <v>704</v>
      </c>
      <c r="C440" s="7" t="s">
        <v>122</v>
      </c>
      <c r="D440" s="8" t="n">
        <v>0</v>
      </c>
      <c r="E440" s="8" t="n">
        <v>1</v>
      </c>
      <c r="F440" s="8" t="n">
        <f aca="false">D440+E440</f>
        <v>1</v>
      </c>
      <c r="G440" s="23" t="n">
        <f aca="false">IF(F440=0,"n/a",D440/F440)</f>
        <v>0</v>
      </c>
    </row>
    <row r="441" customFormat="false" ht="15" hidden="false" customHeight="true" outlineLevel="0" collapsed="false">
      <c r="A441" s="7" t="s">
        <v>121</v>
      </c>
      <c r="B441" s="7" t="s">
        <v>705</v>
      </c>
      <c r="C441" s="7" t="s">
        <v>122</v>
      </c>
      <c r="D441" s="8" t="n">
        <v>1</v>
      </c>
      <c r="E441" s="8" t="n">
        <v>0</v>
      </c>
      <c r="F441" s="8" t="n">
        <f aca="false">D441+E441</f>
        <v>1</v>
      </c>
      <c r="G441" s="23" t="n">
        <f aca="false">IF(F441=0,"n/a",D441/F441)</f>
        <v>1</v>
      </c>
    </row>
    <row r="442" customFormat="false" ht="15" hidden="false" customHeight="true" outlineLevel="0" collapsed="false">
      <c r="A442" s="7" t="s">
        <v>121</v>
      </c>
      <c r="B442" s="7" t="s">
        <v>501</v>
      </c>
      <c r="C442" s="7" t="s">
        <v>122</v>
      </c>
      <c r="D442" s="8" t="n">
        <v>0</v>
      </c>
      <c r="E442" s="8" t="n">
        <v>1</v>
      </c>
      <c r="F442" s="8" t="n">
        <f aca="false">D442+E442</f>
        <v>1</v>
      </c>
      <c r="G442" s="23" t="n">
        <f aca="false">IF(F442=0,"n/a",D442/F442)</f>
        <v>0</v>
      </c>
    </row>
    <row r="443" customFormat="false" ht="15" hidden="false" customHeight="true" outlineLevel="0" collapsed="false">
      <c r="A443" s="7" t="s">
        <v>123</v>
      </c>
      <c r="B443" s="7" t="s">
        <v>706</v>
      </c>
      <c r="C443" s="7" t="s">
        <v>124</v>
      </c>
      <c r="D443" s="8" t="n">
        <v>4</v>
      </c>
      <c r="E443" s="8" t="n">
        <v>19</v>
      </c>
      <c r="F443" s="8" t="n">
        <f aca="false">D443+E443</f>
        <v>23</v>
      </c>
      <c r="G443" s="23" t="n">
        <f aca="false">IF(F443=0,"n/a",D443/F443)</f>
        <v>0.173913043478261</v>
      </c>
    </row>
    <row r="444" customFormat="false" ht="15" hidden="false" customHeight="true" outlineLevel="0" collapsed="false">
      <c r="A444" s="7" t="s">
        <v>123</v>
      </c>
      <c r="B444" s="7" t="s">
        <v>707</v>
      </c>
      <c r="C444" s="7" t="s">
        <v>124</v>
      </c>
      <c r="D444" s="8" t="n">
        <v>0</v>
      </c>
      <c r="E444" s="8" t="n">
        <v>8</v>
      </c>
      <c r="F444" s="8" t="n">
        <f aca="false">D444+E444</f>
        <v>8</v>
      </c>
      <c r="G444" s="23" t="n">
        <f aca="false">IF(F444=0,"n/a",D444/F444)</f>
        <v>0</v>
      </c>
    </row>
    <row r="445" customFormat="false" ht="15" hidden="false" customHeight="true" outlineLevel="0" collapsed="false">
      <c r="A445" s="7" t="s">
        <v>123</v>
      </c>
      <c r="B445" s="7" t="s">
        <v>708</v>
      </c>
      <c r="C445" s="7" t="s">
        <v>124</v>
      </c>
      <c r="D445" s="8" t="n">
        <v>1</v>
      </c>
      <c r="E445" s="8" t="n">
        <v>5</v>
      </c>
      <c r="F445" s="8" t="n">
        <f aca="false">D445+E445</f>
        <v>6</v>
      </c>
      <c r="G445" s="23" t="n">
        <f aca="false">IF(F445=0,"n/a",D445/F445)</f>
        <v>0.166666666666667</v>
      </c>
    </row>
    <row r="446" customFormat="false" ht="15" hidden="false" customHeight="true" outlineLevel="0" collapsed="false">
      <c r="A446" s="7" t="s">
        <v>123</v>
      </c>
      <c r="B446" s="7" t="s">
        <v>709</v>
      </c>
      <c r="C446" s="7" t="s">
        <v>124</v>
      </c>
      <c r="D446" s="8" t="n">
        <v>2</v>
      </c>
      <c r="E446" s="8" t="n">
        <v>4</v>
      </c>
      <c r="F446" s="8" t="n">
        <f aca="false">D446+E446</f>
        <v>6</v>
      </c>
      <c r="G446" s="23" t="n">
        <f aca="false">IF(F446=0,"n/a",D446/F446)</f>
        <v>0.333333333333333</v>
      </c>
    </row>
    <row r="447" customFormat="false" ht="15" hidden="false" customHeight="true" outlineLevel="0" collapsed="false">
      <c r="A447" s="7" t="s">
        <v>123</v>
      </c>
      <c r="B447" s="7" t="s">
        <v>710</v>
      </c>
      <c r="C447" s="7" t="s">
        <v>124</v>
      </c>
      <c r="D447" s="8" t="n">
        <v>0</v>
      </c>
      <c r="E447" s="8" t="n">
        <v>4</v>
      </c>
      <c r="F447" s="8" t="n">
        <f aca="false">D447+E447</f>
        <v>4</v>
      </c>
      <c r="G447" s="23" t="n">
        <f aca="false">IF(F447=0,"n/a",D447/F447)</f>
        <v>0</v>
      </c>
    </row>
    <row r="448" customFormat="false" ht="15" hidden="false" customHeight="true" outlineLevel="0" collapsed="false">
      <c r="A448" s="7" t="s">
        <v>123</v>
      </c>
      <c r="B448" s="7" t="s">
        <v>711</v>
      </c>
      <c r="C448" s="7" t="s">
        <v>124</v>
      </c>
      <c r="D448" s="8" t="n">
        <v>0</v>
      </c>
      <c r="E448" s="8" t="n">
        <v>3</v>
      </c>
      <c r="F448" s="8" t="n">
        <f aca="false">D448+E448</f>
        <v>3</v>
      </c>
      <c r="G448" s="23" t="n">
        <f aca="false">IF(F448=0,"n/a",D448/F448)</f>
        <v>0</v>
      </c>
    </row>
    <row r="449" customFormat="false" ht="15" hidden="false" customHeight="true" outlineLevel="0" collapsed="false">
      <c r="A449" s="7" t="s">
        <v>123</v>
      </c>
      <c r="B449" s="7" t="s">
        <v>712</v>
      </c>
      <c r="C449" s="7" t="s">
        <v>124</v>
      </c>
      <c r="D449" s="8" t="n">
        <v>0</v>
      </c>
      <c r="E449" s="8" t="n">
        <v>2</v>
      </c>
      <c r="F449" s="8" t="n">
        <f aca="false">D449+E449</f>
        <v>2</v>
      </c>
      <c r="G449" s="23" t="n">
        <f aca="false">IF(F449=0,"n/a",D449/F449)</f>
        <v>0</v>
      </c>
    </row>
    <row r="450" customFormat="false" ht="15" hidden="false" customHeight="true" outlineLevel="0" collapsed="false">
      <c r="A450" s="7" t="s">
        <v>123</v>
      </c>
      <c r="B450" s="7" t="s">
        <v>713</v>
      </c>
      <c r="C450" s="7" t="s">
        <v>124</v>
      </c>
      <c r="D450" s="8" t="n">
        <v>0</v>
      </c>
      <c r="E450" s="8" t="n">
        <v>1</v>
      </c>
      <c r="F450" s="8" t="n">
        <f aca="false">D450+E450</f>
        <v>1</v>
      </c>
      <c r="G450" s="23" t="n">
        <f aca="false">IF(F450=0,"n/a",D450/F450)</f>
        <v>0</v>
      </c>
    </row>
    <row r="451" customFormat="false" ht="15" hidden="false" customHeight="true" outlineLevel="0" collapsed="false">
      <c r="A451" s="7" t="s">
        <v>123</v>
      </c>
      <c r="B451" s="7" t="s">
        <v>626</v>
      </c>
      <c r="C451" s="7" t="s">
        <v>124</v>
      </c>
      <c r="D451" s="8" t="n">
        <v>0</v>
      </c>
      <c r="E451" s="8" t="n">
        <v>1</v>
      </c>
      <c r="F451" s="8" t="n">
        <f aca="false">D451+E451</f>
        <v>1</v>
      </c>
      <c r="G451" s="23" t="n">
        <f aca="false">IF(F451=0,"n/a",D451/F451)</f>
        <v>0</v>
      </c>
    </row>
    <row r="452" customFormat="false" ht="15" hidden="false" customHeight="true" outlineLevel="0" collapsed="false">
      <c r="A452" s="7" t="s">
        <v>123</v>
      </c>
      <c r="B452" s="7" t="s">
        <v>714</v>
      </c>
      <c r="C452" s="7" t="s">
        <v>124</v>
      </c>
      <c r="D452" s="8" t="n">
        <v>0</v>
      </c>
      <c r="E452" s="8" t="n">
        <v>1</v>
      </c>
      <c r="F452" s="8" t="n">
        <f aca="false">D452+E452</f>
        <v>1</v>
      </c>
      <c r="G452" s="23" t="n">
        <f aca="false">IF(F452=0,"n/a",D452/F452)</f>
        <v>0</v>
      </c>
    </row>
    <row r="453" customFormat="false" ht="15" hidden="false" customHeight="true" outlineLevel="0" collapsed="false">
      <c r="A453" s="7" t="s">
        <v>123</v>
      </c>
      <c r="B453" s="7" t="s">
        <v>715</v>
      </c>
      <c r="C453" s="7" t="s">
        <v>124</v>
      </c>
      <c r="D453" s="8" t="n">
        <v>1</v>
      </c>
      <c r="E453" s="8" t="n">
        <v>0</v>
      </c>
      <c r="F453" s="8" t="n">
        <f aca="false">D453+E453</f>
        <v>1</v>
      </c>
      <c r="G453" s="23" t="n">
        <f aca="false">IF(F453=0,"n/a",D453/F453)</f>
        <v>1</v>
      </c>
    </row>
    <row r="454" customFormat="false" ht="15" hidden="false" customHeight="true" outlineLevel="0" collapsed="false">
      <c r="A454" s="7" t="s">
        <v>123</v>
      </c>
      <c r="B454" s="7" t="s">
        <v>716</v>
      </c>
      <c r="C454" s="7" t="s">
        <v>124</v>
      </c>
      <c r="D454" s="8" t="n">
        <v>1</v>
      </c>
      <c r="E454" s="8" t="n">
        <v>0</v>
      </c>
      <c r="F454" s="8" t="n">
        <f aca="false">D454+E454</f>
        <v>1</v>
      </c>
      <c r="G454" s="23" t="n">
        <f aca="false">IF(F454=0,"n/a",D454/F454)</f>
        <v>1</v>
      </c>
    </row>
    <row r="455" customFormat="false" ht="15" hidden="false" customHeight="true" outlineLevel="0" collapsed="false">
      <c r="A455" s="7" t="s">
        <v>123</v>
      </c>
      <c r="B455" s="7" t="s">
        <v>717</v>
      </c>
      <c r="C455" s="7" t="s">
        <v>124</v>
      </c>
      <c r="D455" s="8" t="n">
        <v>0</v>
      </c>
      <c r="E455" s="8" t="n">
        <v>1</v>
      </c>
      <c r="F455" s="8" t="n">
        <f aca="false">D455+E455</f>
        <v>1</v>
      </c>
      <c r="G455" s="23" t="n">
        <f aca="false">IF(F455=0,"n/a",D455/F455)</f>
        <v>0</v>
      </c>
    </row>
    <row r="456" customFormat="false" ht="15" hidden="false" customHeight="true" outlineLevel="0" collapsed="false">
      <c r="A456" s="7" t="s">
        <v>123</v>
      </c>
      <c r="B456" s="7" t="s">
        <v>718</v>
      </c>
      <c r="C456" s="7" t="s">
        <v>124</v>
      </c>
      <c r="D456" s="8" t="n">
        <v>1</v>
      </c>
      <c r="E456" s="8" t="n">
        <v>0</v>
      </c>
      <c r="F456" s="8" t="n">
        <f aca="false">D456+E456</f>
        <v>1</v>
      </c>
      <c r="G456" s="23" t="n">
        <f aca="false">IF(F456=0,"n/a",D456/F456)</f>
        <v>1</v>
      </c>
    </row>
    <row r="457" customFormat="false" ht="15" hidden="false" customHeight="true" outlineLevel="0" collapsed="false">
      <c r="A457" s="7" t="s">
        <v>123</v>
      </c>
      <c r="B457" s="7" t="s">
        <v>719</v>
      </c>
      <c r="C457" s="7" t="s">
        <v>124</v>
      </c>
      <c r="D457" s="8" t="n">
        <v>0</v>
      </c>
      <c r="E457" s="8" t="n">
        <v>1</v>
      </c>
      <c r="F457" s="8" t="n">
        <f aca="false">D457+E457</f>
        <v>1</v>
      </c>
      <c r="G457" s="23" t="n">
        <f aca="false">IF(F457=0,"n/a",D457/F457)</f>
        <v>0</v>
      </c>
    </row>
    <row r="458" customFormat="false" ht="15" hidden="false" customHeight="true" outlineLevel="0" collapsed="false">
      <c r="A458" s="7" t="s">
        <v>125</v>
      </c>
      <c r="B458" s="7" t="s">
        <v>720</v>
      </c>
      <c r="C458" s="7" t="s">
        <v>126</v>
      </c>
      <c r="D458" s="8" t="n">
        <v>7</v>
      </c>
      <c r="E458" s="8" t="n">
        <v>6</v>
      </c>
      <c r="F458" s="8" t="n">
        <f aca="false">D458+E458</f>
        <v>13</v>
      </c>
      <c r="G458" s="23" t="n">
        <f aca="false">IF(F458=0,"n/a",D458/F458)</f>
        <v>0.538461538461538</v>
      </c>
    </row>
    <row r="459" customFormat="false" ht="15" hidden="false" customHeight="true" outlineLevel="0" collapsed="false">
      <c r="A459" s="7" t="s">
        <v>125</v>
      </c>
      <c r="B459" s="7" t="s">
        <v>721</v>
      </c>
      <c r="C459" s="7" t="s">
        <v>126</v>
      </c>
      <c r="D459" s="8" t="n">
        <v>0</v>
      </c>
      <c r="E459" s="8" t="n">
        <v>12</v>
      </c>
      <c r="F459" s="8" t="n">
        <f aca="false">D459+E459</f>
        <v>12</v>
      </c>
      <c r="G459" s="23" t="n">
        <f aca="false">IF(F459=0,"n/a",D459/F459)</f>
        <v>0</v>
      </c>
    </row>
    <row r="460" customFormat="false" ht="15" hidden="false" customHeight="true" outlineLevel="0" collapsed="false">
      <c r="A460" s="7" t="s">
        <v>125</v>
      </c>
      <c r="B460" s="7" t="s">
        <v>722</v>
      </c>
      <c r="C460" s="7" t="s">
        <v>126</v>
      </c>
      <c r="D460" s="8" t="n">
        <v>7</v>
      </c>
      <c r="E460" s="8" t="n">
        <v>5</v>
      </c>
      <c r="F460" s="8" t="n">
        <f aca="false">D460+E460</f>
        <v>12</v>
      </c>
      <c r="G460" s="23" t="n">
        <f aca="false">IF(F460=0,"n/a",D460/F460)</f>
        <v>0.583333333333333</v>
      </c>
    </row>
    <row r="461" customFormat="false" ht="15" hidden="false" customHeight="true" outlineLevel="0" collapsed="false">
      <c r="A461" s="7" t="s">
        <v>125</v>
      </c>
      <c r="B461" s="7" t="s">
        <v>723</v>
      </c>
      <c r="C461" s="7" t="s">
        <v>126</v>
      </c>
      <c r="D461" s="8" t="n">
        <v>0</v>
      </c>
      <c r="E461" s="8" t="n">
        <v>6</v>
      </c>
      <c r="F461" s="8" t="n">
        <f aca="false">D461+E461</f>
        <v>6</v>
      </c>
      <c r="G461" s="23" t="n">
        <f aca="false">IF(F461=0,"n/a",D461/F461)</f>
        <v>0</v>
      </c>
    </row>
    <row r="462" customFormat="false" ht="15" hidden="false" customHeight="true" outlineLevel="0" collapsed="false">
      <c r="A462" s="7" t="s">
        <v>125</v>
      </c>
      <c r="B462" s="7" t="s">
        <v>724</v>
      </c>
      <c r="C462" s="7" t="s">
        <v>126</v>
      </c>
      <c r="D462" s="8" t="n">
        <v>4</v>
      </c>
      <c r="E462" s="8" t="n">
        <v>0</v>
      </c>
      <c r="F462" s="8" t="n">
        <f aca="false">D462+E462</f>
        <v>4</v>
      </c>
      <c r="G462" s="23" t="n">
        <f aca="false">IF(F462=0,"n/a",D462/F462)</f>
        <v>1</v>
      </c>
    </row>
    <row r="463" customFormat="false" ht="15" hidden="false" customHeight="true" outlineLevel="0" collapsed="false">
      <c r="A463" s="7" t="s">
        <v>125</v>
      </c>
      <c r="B463" s="7" t="s">
        <v>725</v>
      </c>
      <c r="C463" s="7" t="s">
        <v>126</v>
      </c>
      <c r="D463" s="8" t="n">
        <v>2</v>
      </c>
      <c r="E463" s="8" t="n">
        <v>2</v>
      </c>
      <c r="F463" s="8" t="n">
        <f aca="false">D463+E463</f>
        <v>4</v>
      </c>
      <c r="G463" s="23" t="n">
        <f aca="false">IF(F463=0,"n/a",D463/F463)</f>
        <v>0.5</v>
      </c>
    </row>
    <row r="464" customFormat="false" ht="15" hidden="false" customHeight="true" outlineLevel="0" collapsed="false">
      <c r="A464" s="7" t="s">
        <v>125</v>
      </c>
      <c r="B464" s="7" t="s">
        <v>726</v>
      </c>
      <c r="C464" s="7" t="s">
        <v>126</v>
      </c>
      <c r="D464" s="8" t="n">
        <v>4</v>
      </c>
      <c r="E464" s="8" t="n">
        <v>0</v>
      </c>
      <c r="F464" s="8" t="n">
        <f aca="false">D464+E464</f>
        <v>4</v>
      </c>
      <c r="G464" s="23" t="n">
        <f aca="false">IF(F464=0,"n/a",D464/F464)</f>
        <v>1</v>
      </c>
    </row>
    <row r="465" customFormat="false" ht="15" hidden="false" customHeight="true" outlineLevel="0" collapsed="false">
      <c r="A465" s="7" t="s">
        <v>125</v>
      </c>
      <c r="B465" s="7" t="s">
        <v>691</v>
      </c>
      <c r="C465" s="7" t="s">
        <v>126</v>
      </c>
      <c r="D465" s="8" t="n">
        <v>0</v>
      </c>
      <c r="E465" s="8" t="n">
        <v>4</v>
      </c>
      <c r="F465" s="8" t="n">
        <f aca="false">D465+E465</f>
        <v>4</v>
      </c>
      <c r="G465" s="23" t="n">
        <f aca="false">IF(F465=0,"n/a",D465/F465)</f>
        <v>0</v>
      </c>
    </row>
    <row r="466" customFormat="false" ht="15" hidden="false" customHeight="true" outlineLevel="0" collapsed="false">
      <c r="A466" s="7" t="s">
        <v>125</v>
      </c>
      <c r="B466" s="7" t="s">
        <v>727</v>
      </c>
      <c r="C466" s="7" t="s">
        <v>126</v>
      </c>
      <c r="D466" s="8" t="n">
        <v>0</v>
      </c>
      <c r="E466" s="8" t="n">
        <v>3</v>
      </c>
      <c r="F466" s="8" t="n">
        <f aca="false">D466+E466</f>
        <v>3</v>
      </c>
      <c r="G466" s="23" t="n">
        <f aca="false">IF(F466=0,"n/a",D466/F466)</f>
        <v>0</v>
      </c>
    </row>
    <row r="467" customFormat="false" ht="15" hidden="false" customHeight="true" outlineLevel="0" collapsed="false">
      <c r="A467" s="7" t="s">
        <v>125</v>
      </c>
      <c r="B467" s="7" t="s">
        <v>728</v>
      </c>
      <c r="C467" s="7" t="s">
        <v>126</v>
      </c>
      <c r="D467" s="8" t="n">
        <v>3</v>
      </c>
      <c r="E467" s="8" t="n">
        <v>0</v>
      </c>
      <c r="F467" s="8" t="n">
        <f aca="false">D467+E467</f>
        <v>3</v>
      </c>
      <c r="G467" s="23" t="n">
        <f aca="false">IF(F467=0,"n/a",D467/F467)</f>
        <v>1</v>
      </c>
    </row>
    <row r="468" customFormat="false" ht="15" hidden="false" customHeight="true" outlineLevel="0" collapsed="false">
      <c r="A468" s="7" t="s">
        <v>125</v>
      </c>
      <c r="B468" s="7" t="s">
        <v>729</v>
      </c>
      <c r="C468" s="7" t="s">
        <v>126</v>
      </c>
      <c r="D468" s="8" t="n">
        <v>2</v>
      </c>
      <c r="E468" s="8" t="n">
        <v>1</v>
      </c>
      <c r="F468" s="8" t="n">
        <f aca="false">D468+E468</f>
        <v>3</v>
      </c>
      <c r="G468" s="23" t="n">
        <f aca="false">IF(F468=0,"n/a",D468/F468)</f>
        <v>0.666666666666667</v>
      </c>
    </row>
    <row r="469" customFormat="false" ht="15" hidden="false" customHeight="true" outlineLevel="0" collapsed="false">
      <c r="A469" s="7" t="s">
        <v>125</v>
      </c>
      <c r="B469" s="7" t="s">
        <v>730</v>
      </c>
      <c r="C469" s="7" t="s">
        <v>126</v>
      </c>
      <c r="D469" s="8" t="n">
        <v>0</v>
      </c>
      <c r="E469" s="8" t="n">
        <v>2</v>
      </c>
      <c r="F469" s="8" t="n">
        <f aca="false">D469+E469</f>
        <v>2</v>
      </c>
      <c r="G469" s="23" t="n">
        <f aca="false">IF(F469=0,"n/a",D469/F469)</f>
        <v>0</v>
      </c>
    </row>
    <row r="470" customFormat="false" ht="15" hidden="false" customHeight="true" outlineLevel="0" collapsed="false">
      <c r="A470" s="7" t="s">
        <v>125</v>
      </c>
      <c r="B470" s="7" t="s">
        <v>644</v>
      </c>
      <c r="C470" s="7" t="s">
        <v>126</v>
      </c>
      <c r="D470" s="8" t="n">
        <v>0</v>
      </c>
      <c r="E470" s="8" t="n">
        <v>2</v>
      </c>
      <c r="F470" s="8" t="n">
        <f aca="false">D470+E470</f>
        <v>2</v>
      </c>
      <c r="G470" s="23" t="n">
        <f aca="false">IF(F470=0,"n/a",D470/F470)</f>
        <v>0</v>
      </c>
    </row>
    <row r="471" customFormat="false" ht="15" hidden="false" customHeight="true" outlineLevel="0" collapsed="false">
      <c r="A471" s="7" t="s">
        <v>125</v>
      </c>
      <c r="B471" s="7" t="s">
        <v>731</v>
      </c>
      <c r="C471" s="7" t="s">
        <v>126</v>
      </c>
      <c r="D471" s="8" t="n">
        <v>0</v>
      </c>
      <c r="E471" s="8" t="n">
        <v>2</v>
      </c>
      <c r="F471" s="8" t="n">
        <f aca="false">D471+E471</f>
        <v>2</v>
      </c>
      <c r="G471" s="23" t="n">
        <f aca="false">IF(F471=0,"n/a",D471/F471)</f>
        <v>0</v>
      </c>
    </row>
    <row r="472" customFormat="false" ht="15" hidden="false" customHeight="true" outlineLevel="0" collapsed="false">
      <c r="A472" s="7" t="s">
        <v>125</v>
      </c>
      <c r="B472" s="7" t="s">
        <v>732</v>
      </c>
      <c r="C472" s="7" t="s">
        <v>126</v>
      </c>
      <c r="D472" s="8" t="n">
        <v>1</v>
      </c>
      <c r="E472" s="8" t="n">
        <v>1</v>
      </c>
      <c r="F472" s="8" t="n">
        <f aca="false">D472+E472</f>
        <v>2</v>
      </c>
      <c r="G472" s="23" t="n">
        <f aca="false">IF(F472=0,"n/a",D472/F472)</f>
        <v>0.5</v>
      </c>
    </row>
    <row r="473" customFormat="false" ht="15" hidden="false" customHeight="true" outlineLevel="0" collapsed="false">
      <c r="A473" s="7" t="s">
        <v>125</v>
      </c>
      <c r="B473" s="7" t="s">
        <v>733</v>
      </c>
      <c r="C473" s="7" t="s">
        <v>126</v>
      </c>
      <c r="D473" s="8" t="n">
        <v>0</v>
      </c>
      <c r="E473" s="8" t="n">
        <v>2</v>
      </c>
      <c r="F473" s="8" t="n">
        <f aca="false">D473+E473</f>
        <v>2</v>
      </c>
      <c r="G473" s="23" t="n">
        <f aca="false">IF(F473=0,"n/a",D473/F473)</f>
        <v>0</v>
      </c>
    </row>
    <row r="474" customFormat="false" ht="15" hidden="false" customHeight="true" outlineLevel="0" collapsed="false">
      <c r="A474" s="7" t="s">
        <v>125</v>
      </c>
      <c r="B474" s="7" t="s">
        <v>734</v>
      </c>
      <c r="C474" s="7" t="s">
        <v>126</v>
      </c>
      <c r="D474" s="8" t="n">
        <v>1</v>
      </c>
      <c r="E474" s="8" t="n">
        <v>0</v>
      </c>
      <c r="F474" s="8" t="n">
        <f aca="false">D474+E474</f>
        <v>1</v>
      </c>
      <c r="G474" s="23" t="n">
        <f aca="false">IF(F474=0,"n/a",D474/F474)</f>
        <v>1</v>
      </c>
    </row>
    <row r="475" customFormat="false" ht="15" hidden="false" customHeight="true" outlineLevel="0" collapsed="false">
      <c r="A475" s="7" t="s">
        <v>125</v>
      </c>
      <c r="B475" s="7" t="s">
        <v>735</v>
      </c>
      <c r="C475" s="7" t="s">
        <v>126</v>
      </c>
      <c r="D475" s="8" t="n">
        <v>1</v>
      </c>
      <c r="E475" s="8" t="n">
        <v>0</v>
      </c>
      <c r="F475" s="8" t="n">
        <f aca="false">D475+E475</f>
        <v>1</v>
      </c>
      <c r="G475" s="23" t="n">
        <f aca="false">IF(F475=0,"n/a",D475/F475)</f>
        <v>1</v>
      </c>
    </row>
    <row r="476" customFormat="false" ht="15" hidden="false" customHeight="true" outlineLevel="0" collapsed="false">
      <c r="A476" s="7" t="s">
        <v>125</v>
      </c>
      <c r="B476" s="7" t="s">
        <v>736</v>
      </c>
      <c r="C476" s="7" t="s">
        <v>126</v>
      </c>
      <c r="D476" s="8" t="n">
        <v>0</v>
      </c>
      <c r="E476" s="8" t="n">
        <v>1</v>
      </c>
      <c r="F476" s="8" t="n">
        <f aca="false">D476+E476</f>
        <v>1</v>
      </c>
      <c r="G476" s="23" t="n">
        <f aca="false">IF(F476=0,"n/a",D476/F476)</f>
        <v>0</v>
      </c>
    </row>
    <row r="477" customFormat="false" ht="15" hidden="false" customHeight="true" outlineLevel="0" collapsed="false">
      <c r="A477" s="7" t="s">
        <v>125</v>
      </c>
      <c r="B477" s="7" t="s">
        <v>677</v>
      </c>
      <c r="C477" s="7" t="s">
        <v>126</v>
      </c>
      <c r="D477" s="8" t="n">
        <v>1</v>
      </c>
      <c r="E477" s="8" t="n">
        <v>0</v>
      </c>
      <c r="F477" s="8" t="n">
        <f aca="false">D477+E477</f>
        <v>1</v>
      </c>
      <c r="G477" s="23" t="n">
        <f aca="false">IF(F477=0,"n/a",D477/F477)</f>
        <v>1</v>
      </c>
    </row>
    <row r="478" customFormat="false" ht="15" hidden="false" customHeight="true" outlineLevel="0" collapsed="false">
      <c r="A478" s="7" t="s">
        <v>125</v>
      </c>
      <c r="B478" s="7" t="s">
        <v>737</v>
      </c>
      <c r="C478" s="7" t="s">
        <v>126</v>
      </c>
      <c r="D478" s="8" t="n">
        <v>1</v>
      </c>
      <c r="E478" s="8" t="n">
        <v>0</v>
      </c>
      <c r="F478" s="8" t="n">
        <f aca="false">D478+E478</f>
        <v>1</v>
      </c>
      <c r="G478" s="23" t="n">
        <f aca="false">IF(F478=0,"n/a",D478/F478)</f>
        <v>1</v>
      </c>
    </row>
    <row r="479" customFormat="false" ht="15" hidden="false" customHeight="true" outlineLevel="0" collapsed="false">
      <c r="A479" s="7" t="s">
        <v>125</v>
      </c>
      <c r="B479" s="7" t="s">
        <v>738</v>
      </c>
      <c r="C479" s="7" t="s">
        <v>126</v>
      </c>
      <c r="D479" s="8" t="n">
        <v>0</v>
      </c>
      <c r="E479" s="8" t="n">
        <v>1</v>
      </c>
      <c r="F479" s="8" t="n">
        <f aca="false">D479+E479</f>
        <v>1</v>
      </c>
      <c r="G479" s="23" t="n">
        <f aca="false">IF(F479=0,"n/a",D479/F479)</f>
        <v>0</v>
      </c>
    </row>
    <row r="480" customFormat="false" ht="15" hidden="false" customHeight="true" outlineLevel="0" collapsed="false">
      <c r="A480" s="7" t="s">
        <v>125</v>
      </c>
      <c r="B480" s="7" t="s">
        <v>739</v>
      </c>
      <c r="C480" s="7" t="s">
        <v>126</v>
      </c>
      <c r="D480" s="8" t="n">
        <v>1</v>
      </c>
      <c r="E480" s="8" t="n">
        <v>0</v>
      </c>
      <c r="F480" s="8" t="n">
        <f aca="false">D480+E480</f>
        <v>1</v>
      </c>
      <c r="G480" s="23" t="n">
        <f aca="false">IF(F480=0,"n/a",D480/F480)</f>
        <v>1</v>
      </c>
    </row>
    <row r="481" customFormat="false" ht="15" hidden="false" customHeight="true" outlineLevel="0" collapsed="false">
      <c r="A481" s="7" t="s">
        <v>125</v>
      </c>
      <c r="B481" s="7" t="s">
        <v>615</v>
      </c>
      <c r="C481" s="7" t="s">
        <v>126</v>
      </c>
      <c r="D481" s="8" t="n">
        <v>0</v>
      </c>
      <c r="E481" s="8" t="n">
        <v>1</v>
      </c>
      <c r="F481" s="8" t="n">
        <f aca="false">D481+E481</f>
        <v>1</v>
      </c>
      <c r="G481" s="23" t="n">
        <f aca="false">IF(F481=0,"n/a",D481/F481)</f>
        <v>0</v>
      </c>
    </row>
    <row r="482" customFormat="false" ht="15" hidden="false" customHeight="true" outlineLevel="0" collapsed="false">
      <c r="A482" s="7" t="s">
        <v>125</v>
      </c>
      <c r="B482" s="7" t="s">
        <v>740</v>
      </c>
      <c r="C482" s="7" t="s">
        <v>126</v>
      </c>
      <c r="D482" s="8" t="n">
        <v>0</v>
      </c>
      <c r="E482" s="8" t="n">
        <v>1</v>
      </c>
      <c r="F482" s="8" t="n">
        <f aca="false">D482+E482</f>
        <v>1</v>
      </c>
      <c r="G482" s="23" t="n">
        <f aca="false">IF(F482=0,"n/a",D482/F482)</f>
        <v>0</v>
      </c>
    </row>
    <row r="483" customFormat="false" ht="15" hidden="false" customHeight="true" outlineLevel="0" collapsed="false">
      <c r="A483" s="7" t="s">
        <v>125</v>
      </c>
      <c r="B483" s="7" t="s">
        <v>741</v>
      </c>
      <c r="C483" s="7" t="s">
        <v>126</v>
      </c>
      <c r="D483" s="8" t="n">
        <v>0</v>
      </c>
      <c r="E483" s="8" t="n">
        <v>1</v>
      </c>
      <c r="F483" s="8" t="n">
        <f aca="false">D483+E483</f>
        <v>1</v>
      </c>
      <c r="G483" s="23" t="n">
        <f aca="false">IF(F483=0,"n/a",D483/F483)</f>
        <v>0</v>
      </c>
    </row>
    <row r="484" customFormat="false" ht="15" hidden="false" customHeight="true" outlineLevel="0" collapsed="false">
      <c r="A484" s="7" t="s">
        <v>125</v>
      </c>
      <c r="B484" s="7" t="s">
        <v>742</v>
      </c>
      <c r="C484" s="7" t="s">
        <v>126</v>
      </c>
      <c r="D484" s="8" t="n">
        <v>1</v>
      </c>
      <c r="E484" s="8" t="n">
        <v>0</v>
      </c>
      <c r="F484" s="8" t="n">
        <f aca="false">D484+E484</f>
        <v>1</v>
      </c>
      <c r="G484" s="23" t="n">
        <f aca="false">IF(F484=0,"n/a",D484/F484)</f>
        <v>1</v>
      </c>
    </row>
    <row r="485" customFormat="false" ht="15" hidden="false" customHeight="true" outlineLevel="0" collapsed="false">
      <c r="A485" s="7" t="s">
        <v>125</v>
      </c>
      <c r="B485" s="7" t="s">
        <v>743</v>
      </c>
      <c r="C485" s="7" t="s">
        <v>126</v>
      </c>
      <c r="D485" s="8" t="n">
        <v>0</v>
      </c>
      <c r="E485" s="8" t="n">
        <v>1</v>
      </c>
      <c r="F485" s="8" t="n">
        <f aca="false">D485+E485</f>
        <v>1</v>
      </c>
      <c r="G485" s="23" t="n">
        <f aca="false">IF(F485=0,"n/a",D485/F485)</f>
        <v>0</v>
      </c>
    </row>
    <row r="486" customFormat="false" ht="15" hidden="false" customHeight="true" outlineLevel="0" collapsed="false">
      <c r="A486" s="7" t="s">
        <v>125</v>
      </c>
      <c r="B486" s="7" t="s">
        <v>744</v>
      </c>
      <c r="C486" s="7" t="s">
        <v>126</v>
      </c>
      <c r="D486" s="8" t="n">
        <v>0</v>
      </c>
      <c r="E486" s="8" t="n">
        <v>1</v>
      </c>
      <c r="F486" s="8" t="n">
        <f aca="false">D486+E486</f>
        <v>1</v>
      </c>
      <c r="G486" s="23" t="n">
        <f aca="false">IF(F486=0,"n/a",D486/F486)</f>
        <v>0</v>
      </c>
    </row>
    <row r="487" customFormat="false" ht="15" hidden="false" customHeight="true" outlineLevel="0" collapsed="false">
      <c r="A487" s="7" t="s">
        <v>125</v>
      </c>
      <c r="B487" s="7" t="s">
        <v>745</v>
      </c>
      <c r="C487" s="7" t="s">
        <v>126</v>
      </c>
      <c r="D487" s="8" t="n">
        <v>0</v>
      </c>
      <c r="E487" s="8" t="n">
        <v>1</v>
      </c>
      <c r="F487" s="8" t="n">
        <f aca="false">D487+E487</f>
        <v>1</v>
      </c>
      <c r="G487" s="23" t="n">
        <f aca="false">IF(F487=0,"n/a",D487/F487)</f>
        <v>0</v>
      </c>
    </row>
    <row r="488" customFormat="false" ht="15" hidden="false" customHeight="true" outlineLevel="0" collapsed="false">
      <c r="A488" s="7" t="s">
        <v>125</v>
      </c>
      <c r="B488" s="7" t="s">
        <v>678</v>
      </c>
      <c r="C488" s="7" t="s">
        <v>126</v>
      </c>
      <c r="D488" s="8" t="n">
        <v>0</v>
      </c>
      <c r="E488" s="8" t="n">
        <v>1</v>
      </c>
      <c r="F488" s="8" t="n">
        <f aca="false">D488+E488</f>
        <v>1</v>
      </c>
      <c r="G488" s="23" t="n">
        <f aca="false">IF(F488=0,"n/a",D488/F488)</f>
        <v>0</v>
      </c>
    </row>
    <row r="489" customFormat="false" ht="15" hidden="false" customHeight="true" outlineLevel="0" collapsed="false">
      <c r="A489" s="7" t="s">
        <v>127</v>
      </c>
      <c r="B489" s="7" t="s">
        <v>746</v>
      </c>
      <c r="C489" s="7" t="s">
        <v>99</v>
      </c>
      <c r="D489" s="8" t="n">
        <v>1</v>
      </c>
      <c r="E489" s="8" t="n">
        <v>14</v>
      </c>
      <c r="F489" s="8" t="n">
        <f aca="false">D489+E489</f>
        <v>15</v>
      </c>
      <c r="G489" s="23" t="n">
        <f aca="false">IF(F489=0,"n/a",D489/F489)</f>
        <v>0.0666666666666667</v>
      </c>
    </row>
    <row r="490" customFormat="false" ht="15" hidden="false" customHeight="true" outlineLevel="0" collapsed="false">
      <c r="A490" s="7" t="s">
        <v>127</v>
      </c>
      <c r="B490" s="7" t="s">
        <v>483</v>
      </c>
      <c r="C490" s="7" t="s">
        <v>99</v>
      </c>
      <c r="D490" s="8" t="n">
        <v>4</v>
      </c>
      <c r="E490" s="8" t="n">
        <v>4</v>
      </c>
      <c r="F490" s="8" t="n">
        <f aca="false">D490+E490</f>
        <v>8</v>
      </c>
      <c r="G490" s="23" t="n">
        <f aca="false">IF(F490=0,"n/a",D490/F490)</f>
        <v>0.5</v>
      </c>
    </row>
    <row r="491" customFormat="false" ht="15" hidden="false" customHeight="true" outlineLevel="0" collapsed="false">
      <c r="A491" s="7" t="s">
        <v>127</v>
      </c>
      <c r="B491" s="7" t="s">
        <v>747</v>
      </c>
      <c r="C491" s="7" t="s">
        <v>99</v>
      </c>
      <c r="D491" s="8" t="n">
        <v>1</v>
      </c>
      <c r="E491" s="8" t="n">
        <v>6</v>
      </c>
      <c r="F491" s="8" t="n">
        <f aca="false">D491+E491</f>
        <v>7</v>
      </c>
      <c r="G491" s="23" t="n">
        <f aca="false">IF(F491=0,"n/a",D491/F491)</f>
        <v>0.142857142857143</v>
      </c>
    </row>
    <row r="492" customFormat="false" ht="15" hidden="false" customHeight="true" outlineLevel="0" collapsed="false">
      <c r="A492" s="7" t="s">
        <v>127</v>
      </c>
      <c r="B492" s="7" t="s">
        <v>748</v>
      </c>
      <c r="C492" s="7" t="s">
        <v>99</v>
      </c>
      <c r="D492" s="8" t="n">
        <v>1</v>
      </c>
      <c r="E492" s="8" t="n">
        <v>5</v>
      </c>
      <c r="F492" s="8" t="n">
        <f aca="false">D492+E492</f>
        <v>6</v>
      </c>
      <c r="G492" s="23" t="n">
        <f aca="false">IF(F492=0,"n/a",D492/F492)</f>
        <v>0.166666666666667</v>
      </c>
    </row>
    <row r="493" customFormat="false" ht="15" hidden="false" customHeight="true" outlineLevel="0" collapsed="false">
      <c r="A493" s="7" t="s">
        <v>127</v>
      </c>
      <c r="B493" s="7" t="s">
        <v>749</v>
      </c>
      <c r="C493" s="7" t="s">
        <v>99</v>
      </c>
      <c r="D493" s="8" t="n">
        <v>2</v>
      </c>
      <c r="E493" s="8" t="n">
        <v>3</v>
      </c>
      <c r="F493" s="8" t="n">
        <f aca="false">D493+E493</f>
        <v>5</v>
      </c>
      <c r="G493" s="23" t="n">
        <f aca="false">IF(F493=0,"n/a",D493/F493)</f>
        <v>0.4</v>
      </c>
    </row>
    <row r="494" customFormat="false" ht="15" hidden="false" customHeight="true" outlineLevel="0" collapsed="false">
      <c r="A494" s="7" t="s">
        <v>127</v>
      </c>
      <c r="B494" s="7" t="s">
        <v>750</v>
      </c>
      <c r="C494" s="7" t="s">
        <v>99</v>
      </c>
      <c r="D494" s="8" t="n">
        <v>5</v>
      </c>
      <c r="E494" s="8" t="n">
        <v>0</v>
      </c>
      <c r="F494" s="8" t="n">
        <f aca="false">D494+E494</f>
        <v>5</v>
      </c>
      <c r="G494" s="23" t="n">
        <f aca="false">IF(F494=0,"n/a",D494/F494)</f>
        <v>1</v>
      </c>
    </row>
    <row r="495" customFormat="false" ht="15" hidden="false" customHeight="true" outlineLevel="0" collapsed="false">
      <c r="A495" s="7" t="s">
        <v>127</v>
      </c>
      <c r="B495" s="7" t="s">
        <v>751</v>
      </c>
      <c r="C495" s="7" t="s">
        <v>99</v>
      </c>
      <c r="D495" s="8" t="n">
        <v>4</v>
      </c>
      <c r="E495" s="8" t="n">
        <v>0</v>
      </c>
      <c r="F495" s="8" t="n">
        <f aca="false">D495+E495</f>
        <v>4</v>
      </c>
      <c r="G495" s="23" t="n">
        <f aca="false">IF(F495=0,"n/a",D495/F495)</f>
        <v>1</v>
      </c>
    </row>
    <row r="496" customFormat="false" ht="15" hidden="false" customHeight="true" outlineLevel="0" collapsed="false">
      <c r="A496" s="7" t="s">
        <v>127</v>
      </c>
      <c r="B496" s="7" t="s">
        <v>568</v>
      </c>
      <c r="C496" s="7" t="s">
        <v>99</v>
      </c>
      <c r="D496" s="8" t="n">
        <v>0</v>
      </c>
      <c r="E496" s="8" t="n">
        <v>3</v>
      </c>
      <c r="F496" s="8" t="n">
        <f aca="false">D496+E496</f>
        <v>3</v>
      </c>
      <c r="G496" s="23" t="n">
        <f aca="false">IF(F496=0,"n/a",D496/F496)</f>
        <v>0</v>
      </c>
    </row>
    <row r="497" customFormat="false" ht="15" hidden="false" customHeight="true" outlineLevel="0" collapsed="false">
      <c r="A497" s="7" t="s">
        <v>127</v>
      </c>
      <c r="B497" s="7" t="s">
        <v>752</v>
      </c>
      <c r="C497" s="7" t="s">
        <v>99</v>
      </c>
      <c r="D497" s="8" t="n">
        <v>3</v>
      </c>
      <c r="E497" s="8" t="n">
        <v>0</v>
      </c>
      <c r="F497" s="8" t="n">
        <f aca="false">D497+E497</f>
        <v>3</v>
      </c>
      <c r="G497" s="23" t="n">
        <f aca="false">IF(F497=0,"n/a",D497/F497)</f>
        <v>1</v>
      </c>
    </row>
    <row r="498" customFormat="false" ht="15" hidden="false" customHeight="true" outlineLevel="0" collapsed="false">
      <c r="A498" s="7" t="s">
        <v>127</v>
      </c>
      <c r="B498" s="7" t="s">
        <v>753</v>
      </c>
      <c r="C498" s="7" t="s">
        <v>99</v>
      </c>
      <c r="D498" s="8" t="n">
        <v>0</v>
      </c>
      <c r="E498" s="8" t="n">
        <v>2</v>
      </c>
      <c r="F498" s="8" t="n">
        <f aca="false">D498+E498</f>
        <v>2</v>
      </c>
      <c r="G498" s="23" t="n">
        <f aca="false">IF(F498=0,"n/a",D498/F498)</f>
        <v>0</v>
      </c>
    </row>
    <row r="499" customFormat="false" ht="15" hidden="false" customHeight="true" outlineLevel="0" collapsed="false">
      <c r="A499" s="7" t="s">
        <v>127</v>
      </c>
      <c r="B499" s="7" t="s">
        <v>754</v>
      </c>
      <c r="C499" s="7" t="s">
        <v>99</v>
      </c>
      <c r="D499" s="8" t="n">
        <v>1</v>
      </c>
      <c r="E499" s="8" t="n">
        <v>1</v>
      </c>
      <c r="F499" s="8" t="n">
        <f aca="false">D499+E499</f>
        <v>2</v>
      </c>
      <c r="G499" s="23" t="n">
        <f aca="false">IF(F499=0,"n/a",D499/F499)</f>
        <v>0.5</v>
      </c>
    </row>
    <row r="500" customFormat="false" ht="15" hidden="false" customHeight="true" outlineLevel="0" collapsed="false">
      <c r="A500" s="7" t="s">
        <v>127</v>
      </c>
      <c r="B500" s="7" t="s">
        <v>755</v>
      </c>
      <c r="C500" s="7" t="s">
        <v>99</v>
      </c>
      <c r="D500" s="8" t="n">
        <v>2</v>
      </c>
      <c r="E500" s="8" t="n">
        <v>0</v>
      </c>
      <c r="F500" s="8" t="n">
        <f aca="false">D500+E500</f>
        <v>2</v>
      </c>
      <c r="G500" s="23" t="n">
        <f aca="false">IF(F500=0,"n/a",D500/F500)</f>
        <v>1</v>
      </c>
    </row>
    <row r="501" customFormat="false" ht="15" hidden="false" customHeight="true" outlineLevel="0" collapsed="false">
      <c r="A501" s="7" t="s">
        <v>127</v>
      </c>
      <c r="B501" s="7" t="s">
        <v>756</v>
      </c>
      <c r="C501" s="7" t="s">
        <v>99</v>
      </c>
      <c r="D501" s="8" t="n">
        <v>0</v>
      </c>
      <c r="E501" s="8" t="n">
        <v>2</v>
      </c>
      <c r="F501" s="8" t="n">
        <f aca="false">D501+E501</f>
        <v>2</v>
      </c>
      <c r="G501" s="23" t="n">
        <f aca="false">IF(F501=0,"n/a",D501/F501)</f>
        <v>0</v>
      </c>
    </row>
    <row r="502" customFormat="false" ht="15" hidden="false" customHeight="true" outlineLevel="0" collapsed="false">
      <c r="A502" s="7" t="s">
        <v>127</v>
      </c>
      <c r="B502" s="7" t="s">
        <v>757</v>
      </c>
      <c r="C502" s="7" t="s">
        <v>99</v>
      </c>
      <c r="D502" s="8" t="n">
        <v>1</v>
      </c>
      <c r="E502" s="8" t="n">
        <v>0</v>
      </c>
      <c r="F502" s="8" t="n">
        <f aca="false">D502+E502</f>
        <v>1</v>
      </c>
      <c r="G502" s="23" t="n">
        <f aca="false">IF(F502=0,"n/a",D502/F502)</f>
        <v>1</v>
      </c>
    </row>
    <row r="503" customFormat="false" ht="15" hidden="false" customHeight="true" outlineLevel="0" collapsed="false">
      <c r="A503" s="7" t="s">
        <v>127</v>
      </c>
      <c r="B503" s="7" t="s">
        <v>758</v>
      </c>
      <c r="C503" s="7" t="s">
        <v>99</v>
      </c>
      <c r="D503" s="8" t="n">
        <v>1</v>
      </c>
      <c r="E503" s="8" t="n">
        <v>0</v>
      </c>
      <c r="F503" s="8" t="n">
        <f aca="false">D503+E503</f>
        <v>1</v>
      </c>
      <c r="G503" s="23" t="n">
        <f aca="false">IF(F503=0,"n/a",D503/F503)</f>
        <v>1</v>
      </c>
    </row>
    <row r="504" customFormat="false" ht="15" hidden="false" customHeight="true" outlineLevel="0" collapsed="false">
      <c r="A504" s="7" t="s">
        <v>127</v>
      </c>
      <c r="B504" s="7" t="s">
        <v>759</v>
      </c>
      <c r="C504" s="7" t="s">
        <v>99</v>
      </c>
      <c r="D504" s="8" t="n">
        <v>1</v>
      </c>
      <c r="E504" s="8" t="n">
        <v>0</v>
      </c>
      <c r="F504" s="8" t="n">
        <f aca="false">D504+E504</f>
        <v>1</v>
      </c>
      <c r="G504" s="23" t="n">
        <f aca="false">IF(F504=0,"n/a",D504/F504)</f>
        <v>1</v>
      </c>
    </row>
    <row r="505" customFormat="false" ht="15" hidden="false" customHeight="true" outlineLevel="0" collapsed="false">
      <c r="A505" s="7" t="s">
        <v>127</v>
      </c>
      <c r="B505" s="7" t="s">
        <v>760</v>
      </c>
      <c r="C505" s="7" t="s">
        <v>99</v>
      </c>
      <c r="D505" s="8" t="n">
        <v>0</v>
      </c>
      <c r="E505" s="8" t="n">
        <v>1</v>
      </c>
      <c r="F505" s="8" t="n">
        <f aca="false">D505+E505</f>
        <v>1</v>
      </c>
      <c r="G505" s="23" t="n">
        <f aca="false">IF(F505=0,"n/a",D505/F505)</f>
        <v>0</v>
      </c>
    </row>
    <row r="506" customFormat="false" ht="15" hidden="false" customHeight="true" outlineLevel="0" collapsed="false">
      <c r="A506" s="7" t="s">
        <v>127</v>
      </c>
      <c r="B506" s="7" t="s">
        <v>761</v>
      </c>
      <c r="C506" s="7" t="s">
        <v>99</v>
      </c>
      <c r="D506" s="8" t="n">
        <v>0</v>
      </c>
      <c r="E506" s="8" t="n">
        <v>1</v>
      </c>
      <c r="F506" s="8" t="n">
        <f aca="false">D506+E506</f>
        <v>1</v>
      </c>
      <c r="G506" s="23" t="n">
        <f aca="false">IF(F506=0,"n/a",D506/F506)</f>
        <v>0</v>
      </c>
    </row>
    <row r="507" customFormat="false" ht="15" hidden="false" customHeight="true" outlineLevel="0" collapsed="false">
      <c r="A507" s="7" t="s">
        <v>127</v>
      </c>
      <c r="B507" s="7" t="s">
        <v>762</v>
      </c>
      <c r="C507" s="7" t="s">
        <v>99</v>
      </c>
      <c r="D507" s="8" t="n">
        <v>0</v>
      </c>
      <c r="E507" s="8" t="n">
        <v>1</v>
      </c>
      <c r="F507" s="8" t="n">
        <f aca="false">D507+E507</f>
        <v>1</v>
      </c>
      <c r="G507" s="23" t="n">
        <f aca="false">IF(F507=0,"n/a",D507/F507)</f>
        <v>0</v>
      </c>
    </row>
    <row r="508" customFormat="false" ht="15" hidden="false" customHeight="true" outlineLevel="0" collapsed="false">
      <c r="A508" s="7" t="s">
        <v>127</v>
      </c>
      <c r="B508" s="7" t="s">
        <v>763</v>
      </c>
      <c r="C508" s="7" t="s">
        <v>99</v>
      </c>
      <c r="D508" s="8" t="n">
        <v>1</v>
      </c>
      <c r="E508" s="8" t="n">
        <v>0</v>
      </c>
      <c r="F508" s="8" t="n">
        <f aca="false">D508+E508</f>
        <v>1</v>
      </c>
      <c r="G508" s="23" t="n">
        <f aca="false">IF(F508=0,"n/a",D508/F508)</f>
        <v>1</v>
      </c>
    </row>
    <row r="509" customFormat="false" ht="15" hidden="false" customHeight="true" outlineLevel="0" collapsed="false">
      <c r="A509" s="7" t="s">
        <v>127</v>
      </c>
      <c r="B509" s="7" t="s">
        <v>764</v>
      </c>
      <c r="C509" s="7" t="s">
        <v>99</v>
      </c>
      <c r="D509" s="8" t="n">
        <v>1</v>
      </c>
      <c r="E509" s="8" t="n">
        <v>0</v>
      </c>
      <c r="F509" s="8" t="n">
        <f aca="false">D509+E509</f>
        <v>1</v>
      </c>
      <c r="G509" s="23" t="n">
        <f aca="false">IF(F509=0,"n/a",D509/F509)</f>
        <v>1</v>
      </c>
    </row>
    <row r="510" customFormat="false" ht="15" hidden="false" customHeight="true" outlineLevel="0" collapsed="false">
      <c r="A510" s="7" t="s">
        <v>127</v>
      </c>
      <c r="B510" s="7" t="s">
        <v>765</v>
      </c>
      <c r="C510" s="7" t="s">
        <v>99</v>
      </c>
      <c r="D510" s="8" t="n">
        <v>0</v>
      </c>
      <c r="E510" s="8" t="n">
        <v>1</v>
      </c>
      <c r="F510" s="8" t="n">
        <f aca="false">D510+E510</f>
        <v>1</v>
      </c>
      <c r="G510" s="23" t="n">
        <f aca="false">IF(F510=0,"n/a",D510/F510)</f>
        <v>0</v>
      </c>
    </row>
    <row r="511" customFormat="false" ht="15" hidden="false" customHeight="true" outlineLevel="0" collapsed="false">
      <c r="A511" s="7" t="s">
        <v>128</v>
      </c>
      <c r="B511" s="7" t="s">
        <v>766</v>
      </c>
      <c r="C511" s="7" t="s">
        <v>107</v>
      </c>
      <c r="D511" s="8" t="n">
        <v>6</v>
      </c>
      <c r="E511" s="8" t="n">
        <v>5</v>
      </c>
      <c r="F511" s="8" t="n">
        <f aca="false">D511+E511</f>
        <v>11</v>
      </c>
      <c r="G511" s="23" t="n">
        <f aca="false">IF(F511=0,"n/a",D511/F511)</f>
        <v>0.545454545454545</v>
      </c>
    </row>
    <row r="512" customFormat="false" ht="15" hidden="false" customHeight="true" outlineLevel="0" collapsed="false">
      <c r="A512" s="7" t="s">
        <v>128</v>
      </c>
      <c r="B512" s="7" t="s">
        <v>767</v>
      </c>
      <c r="C512" s="7" t="s">
        <v>107</v>
      </c>
      <c r="D512" s="8" t="n">
        <v>0</v>
      </c>
      <c r="E512" s="8" t="n">
        <v>4</v>
      </c>
      <c r="F512" s="8" t="n">
        <f aca="false">D512+E512</f>
        <v>4</v>
      </c>
      <c r="G512" s="23" t="n">
        <f aca="false">IF(F512=0,"n/a",D512/F512)</f>
        <v>0</v>
      </c>
    </row>
    <row r="513" customFormat="false" ht="15" hidden="false" customHeight="true" outlineLevel="0" collapsed="false">
      <c r="A513" s="7" t="s">
        <v>128</v>
      </c>
      <c r="B513" s="7" t="s">
        <v>768</v>
      </c>
      <c r="C513" s="7" t="s">
        <v>107</v>
      </c>
      <c r="D513" s="8" t="n">
        <v>2</v>
      </c>
      <c r="E513" s="8" t="n">
        <v>1</v>
      </c>
      <c r="F513" s="8" t="n">
        <f aca="false">D513+E513</f>
        <v>3</v>
      </c>
      <c r="G513" s="23" t="n">
        <f aca="false">IF(F513=0,"n/a",D513/F513)</f>
        <v>0.666666666666667</v>
      </c>
    </row>
    <row r="514" customFormat="false" ht="15" hidden="false" customHeight="true" outlineLevel="0" collapsed="false">
      <c r="A514" s="7" t="s">
        <v>128</v>
      </c>
      <c r="B514" s="7" t="s">
        <v>769</v>
      </c>
      <c r="C514" s="7" t="s">
        <v>107</v>
      </c>
      <c r="D514" s="8" t="n">
        <v>0</v>
      </c>
      <c r="E514" s="8" t="n">
        <v>3</v>
      </c>
      <c r="F514" s="8" t="n">
        <f aca="false">D514+E514</f>
        <v>3</v>
      </c>
      <c r="G514" s="23" t="n">
        <f aca="false">IF(F514=0,"n/a",D514/F514)</f>
        <v>0</v>
      </c>
    </row>
    <row r="515" customFormat="false" ht="15" hidden="false" customHeight="true" outlineLevel="0" collapsed="false">
      <c r="A515" s="7" t="s">
        <v>128</v>
      </c>
      <c r="B515" s="7" t="s">
        <v>770</v>
      </c>
      <c r="C515" s="7" t="s">
        <v>107</v>
      </c>
      <c r="D515" s="8" t="n">
        <v>2</v>
      </c>
      <c r="E515" s="8" t="n">
        <v>1</v>
      </c>
      <c r="F515" s="8" t="n">
        <f aca="false">D515+E515</f>
        <v>3</v>
      </c>
      <c r="G515" s="23" t="n">
        <f aca="false">IF(F515=0,"n/a",D515/F515)</f>
        <v>0.666666666666667</v>
      </c>
    </row>
    <row r="516" customFormat="false" ht="15" hidden="false" customHeight="true" outlineLevel="0" collapsed="false">
      <c r="A516" s="7" t="s">
        <v>128</v>
      </c>
      <c r="B516" s="7" t="s">
        <v>771</v>
      </c>
      <c r="C516" s="7" t="s">
        <v>107</v>
      </c>
      <c r="D516" s="8" t="n">
        <v>0</v>
      </c>
      <c r="E516" s="8" t="n">
        <v>2</v>
      </c>
      <c r="F516" s="8" t="n">
        <f aca="false">D516+E516</f>
        <v>2</v>
      </c>
      <c r="G516" s="23" t="n">
        <f aca="false">IF(F516=0,"n/a",D516/F516)</f>
        <v>0</v>
      </c>
    </row>
    <row r="517" customFormat="false" ht="15" hidden="false" customHeight="true" outlineLevel="0" collapsed="false">
      <c r="A517" s="7" t="s">
        <v>128</v>
      </c>
      <c r="B517" s="7" t="s">
        <v>772</v>
      </c>
      <c r="C517" s="7" t="s">
        <v>107</v>
      </c>
      <c r="D517" s="8" t="n">
        <v>0</v>
      </c>
      <c r="E517" s="8" t="n">
        <v>2</v>
      </c>
      <c r="F517" s="8" t="n">
        <f aca="false">D517+E517</f>
        <v>2</v>
      </c>
      <c r="G517" s="23" t="n">
        <f aca="false">IF(F517=0,"n/a",D517/F517)</f>
        <v>0</v>
      </c>
    </row>
    <row r="518" customFormat="false" ht="15" hidden="false" customHeight="true" outlineLevel="0" collapsed="false">
      <c r="A518" s="7" t="s">
        <v>128</v>
      </c>
      <c r="B518" s="7" t="s">
        <v>773</v>
      </c>
      <c r="C518" s="7" t="s">
        <v>107</v>
      </c>
      <c r="D518" s="8" t="n">
        <v>1</v>
      </c>
      <c r="E518" s="8" t="n">
        <v>1</v>
      </c>
      <c r="F518" s="8" t="n">
        <f aca="false">D518+E518</f>
        <v>2</v>
      </c>
      <c r="G518" s="23" t="n">
        <f aca="false">IF(F518=0,"n/a",D518/F518)</f>
        <v>0.5</v>
      </c>
    </row>
    <row r="519" customFormat="false" ht="15" hidden="false" customHeight="true" outlineLevel="0" collapsed="false">
      <c r="A519" s="7" t="s">
        <v>128</v>
      </c>
      <c r="B519" s="7" t="s">
        <v>774</v>
      </c>
      <c r="C519" s="7" t="s">
        <v>107</v>
      </c>
      <c r="D519" s="8" t="n">
        <v>0</v>
      </c>
      <c r="E519" s="8" t="n">
        <v>2</v>
      </c>
      <c r="F519" s="8" t="n">
        <f aca="false">D519+E519</f>
        <v>2</v>
      </c>
      <c r="G519" s="23" t="n">
        <f aca="false">IF(F519=0,"n/a",D519/F519)</f>
        <v>0</v>
      </c>
    </row>
    <row r="520" customFormat="false" ht="15" hidden="false" customHeight="true" outlineLevel="0" collapsed="false">
      <c r="A520" s="7" t="s">
        <v>128</v>
      </c>
      <c r="B520" s="7" t="s">
        <v>479</v>
      </c>
      <c r="C520" s="7" t="s">
        <v>107</v>
      </c>
      <c r="D520" s="8" t="n">
        <v>0</v>
      </c>
      <c r="E520" s="8" t="n">
        <v>1</v>
      </c>
      <c r="F520" s="8" t="n">
        <f aca="false">D520+E520</f>
        <v>1</v>
      </c>
      <c r="G520" s="23" t="n">
        <f aca="false">IF(F520=0,"n/a",D520/F520)</f>
        <v>0</v>
      </c>
    </row>
    <row r="521" customFormat="false" ht="15" hidden="false" customHeight="true" outlineLevel="0" collapsed="false">
      <c r="A521" s="7" t="s">
        <v>128</v>
      </c>
      <c r="B521" s="7" t="s">
        <v>775</v>
      </c>
      <c r="C521" s="7" t="s">
        <v>107</v>
      </c>
      <c r="D521" s="8" t="n">
        <v>0</v>
      </c>
      <c r="E521" s="8" t="n">
        <v>1</v>
      </c>
      <c r="F521" s="8" t="n">
        <f aca="false">D521+E521</f>
        <v>1</v>
      </c>
      <c r="G521" s="23" t="n">
        <f aca="false">IF(F521=0,"n/a",D521/F521)</f>
        <v>0</v>
      </c>
    </row>
    <row r="522" customFormat="false" ht="15" hidden="false" customHeight="true" outlineLevel="0" collapsed="false">
      <c r="A522" s="7" t="s">
        <v>128</v>
      </c>
      <c r="B522" s="7" t="s">
        <v>776</v>
      </c>
      <c r="C522" s="7" t="s">
        <v>107</v>
      </c>
      <c r="D522" s="8" t="n">
        <v>1</v>
      </c>
      <c r="E522" s="8" t="n">
        <v>0</v>
      </c>
      <c r="F522" s="8" t="n">
        <f aca="false">D522+E522</f>
        <v>1</v>
      </c>
      <c r="G522" s="23" t="n">
        <f aca="false">IF(F522=0,"n/a",D522/F522)</f>
        <v>1</v>
      </c>
    </row>
    <row r="523" customFormat="false" ht="15" hidden="false" customHeight="true" outlineLevel="0" collapsed="false">
      <c r="A523" s="7" t="s">
        <v>128</v>
      </c>
      <c r="B523" s="7" t="s">
        <v>777</v>
      </c>
      <c r="C523" s="7" t="s">
        <v>107</v>
      </c>
      <c r="D523" s="8" t="n">
        <v>1</v>
      </c>
      <c r="E523" s="8" t="n">
        <v>0</v>
      </c>
      <c r="F523" s="8" t="n">
        <f aca="false">D523+E523</f>
        <v>1</v>
      </c>
      <c r="G523" s="23" t="n">
        <f aca="false">IF(F523=0,"n/a",D523/F523)</f>
        <v>1</v>
      </c>
    </row>
    <row r="524" customFormat="false" ht="15" hidden="false" customHeight="true" outlineLevel="0" collapsed="false">
      <c r="A524" s="7" t="s">
        <v>128</v>
      </c>
      <c r="B524" s="7" t="s">
        <v>778</v>
      </c>
      <c r="C524" s="7" t="s">
        <v>107</v>
      </c>
      <c r="D524" s="8" t="n">
        <v>0</v>
      </c>
      <c r="E524" s="8" t="n">
        <v>1</v>
      </c>
      <c r="F524" s="8" t="n">
        <f aca="false">D524+E524</f>
        <v>1</v>
      </c>
      <c r="G524" s="23" t="n">
        <f aca="false">IF(F524=0,"n/a",D524/F524)</f>
        <v>0</v>
      </c>
    </row>
    <row r="525" customFormat="false" ht="15" hidden="false" customHeight="true" outlineLevel="0" collapsed="false">
      <c r="A525" s="7" t="s">
        <v>128</v>
      </c>
      <c r="B525" s="7" t="s">
        <v>779</v>
      </c>
      <c r="C525" s="7" t="s">
        <v>107</v>
      </c>
      <c r="D525" s="8" t="n">
        <v>1</v>
      </c>
      <c r="E525" s="8" t="n">
        <v>0</v>
      </c>
      <c r="F525" s="8" t="n">
        <f aca="false">D525+E525</f>
        <v>1</v>
      </c>
      <c r="G525" s="23" t="n">
        <f aca="false">IF(F525=0,"n/a",D525/F525)</f>
        <v>1</v>
      </c>
    </row>
    <row r="526" customFormat="false" ht="15" hidden="false" customHeight="true" outlineLevel="0" collapsed="false">
      <c r="A526" s="7" t="s">
        <v>128</v>
      </c>
      <c r="B526" s="7" t="s">
        <v>780</v>
      </c>
      <c r="C526" s="7" t="s">
        <v>107</v>
      </c>
      <c r="D526" s="8" t="n">
        <v>1</v>
      </c>
      <c r="E526" s="8" t="n">
        <v>0</v>
      </c>
      <c r="F526" s="8" t="n">
        <f aca="false">D526+E526</f>
        <v>1</v>
      </c>
      <c r="G526" s="23" t="n">
        <f aca="false">IF(F526=0,"n/a",D526/F526)</f>
        <v>1</v>
      </c>
    </row>
    <row r="527" customFormat="false" ht="15" hidden="false" customHeight="true" outlineLevel="0" collapsed="false">
      <c r="A527" s="7" t="s">
        <v>128</v>
      </c>
      <c r="B527" s="7" t="s">
        <v>781</v>
      </c>
      <c r="C527" s="7" t="s">
        <v>107</v>
      </c>
      <c r="D527" s="8" t="n">
        <v>1</v>
      </c>
      <c r="E527" s="8" t="n">
        <v>0</v>
      </c>
      <c r="F527" s="8" t="n">
        <f aca="false">D527+E527</f>
        <v>1</v>
      </c>
      <c r="G527" s="23" t="n">
        <f aca="false">IF(F527=0,"n/a",D527/F527)</f>
        <v>1</v>
      </c>
    </row>
    <row r="528" customFormat="false" ht="15" hidden="false" customHeight="true" outlineLevel="0" collapsed="false">
      <c r="A528" s="7" t="s">
        <v>128</v>
      </c>
      <c r="B528" s="7" t="s">
        <v>782</v>
      </c>
      <c r="C528" s="7" t="s">
        <v>107</v>
      </c>
      <c r="D528" s="8" t="n">
        <v>0</v>
      </c>
      <c r="E528" s="8" t="n">
        <v>1</v>
      </c>
      <c r="F528" s="8" t="n">
        <f aca="false">D528+E528</f>
        <v>1</v>
      </c>
      <c r="G528" s="23" t="n">
        <f aca="false">IF(F528=0,"n/a",D528/F528)</f>
        <v>0</v>
      </c>
    </row>
    <row r="529" customFormat="false" ht="15" hidden="false" customHeight="true" outlineLevel="0" collapsed="false">
      <c r="A529" s="7" t="s">
        <v>128</v>
      </c>
      <c r="B529" s="7" t="s">
        <v>783</v>
      </c>
      <c r="C529" s="7" t="s">
        <v>107</v>
      </c>
      <c r="D529" s="8" t="n">
        <v>0</v>
      </c>
      <c r="E529" s="8" t="n">
        <v>1</v>
      </c>
      <c r="F529" s="8" t="n">
        <f aca="false">D529+E529</f>
        <v>1</v>
      </c>
      <c r="G529" s="23" t="n">
        <f aca="false">IF(F529=0,"n/a",D529/F529)</f>
        <v>0</v>
      </c>
    </row>
    <row r="530" customFormat="false" ht="15" hidden="false" customHeight="true" outlineLevel="0" collapsed="false">
      <c r="A530" s="7" t="s">
        <v>128</v>
      </c>
      <c r="B530" s="7" t="s">
        <v>784</v>
      </c>
      <c r="C530" s="7" t="s">
        <v>107</v>
      </c>
      <c r="D530" s="8" t="n">
        <v>0</v>
      </c>
      <c r="E530" s="8" t="n">
        <v>1</v>
      </c>
      <c r="F530" s="8" t="n">
        <f aca="false">D530+E530</f>
        <v>1</v>
      </c>
      <c r="G530" s="23" t="n">
        <f aca="false">IF(F530=0,"n/a",D530/F530)</f>
        <v>0</v>
      </c>
    </row>
    <row r="531" customFormat="false" ht="15" hidden="false" customHeight="true" outlineLevel="0" collapsed="false">
      <c r="A531" s="7" t="s">
        <v>128</v>
      </c>
      <c r="B531" s="7" t="s">
        <v>785</v>
      </c>
      <c r="C531" s="7" t="s">
        <v>107</v>
      </c>
      <c r="D531" s="8" t="n">
        <v>1</v>
      </c>
      <c r="E531" s="8" t="n">
        <v>0</v>
      </c>
      <c r="F531" s="8" t="n">
        <f aca="false">D531+E531</f>
        <v>1</v>
      </c>
      <c r="G531" s="23" t="n">
        <f aca="false">IF(F531=0,"n/a",D531/F531)</f>
        <v>1</v>
      </c>
    </row>
    <row r="532" customFormat="false" ht="15" hidden="false" customHeight="true" outlineLevel="0" collapsed="false">
      <c r="A532" s="7" t="s">
        <v>129</v>
      </c>
      <c r="B532" s="7" t="s">
        <v>786</v>
      </c>
      <c r="C532" s="7" t="s">
        <v>109</v>
      </c>
      <c r="D532" s="8" t="n">
        <v>0</v>
      </c>
      <c r="E532" s="8" t="n">
        <v>7</v>
      </c>
      <c r="F532" s="8" t="n">
        <f aca="false">D532+E532</f>
        <v>7</v>
      </c>
      <c r="G532" s="23" t="n">
        <f aca="false">IF(F532=0,"n/a",D532/F532)</f>
        <v>0</v>
      </c>
    </row>
    <row r="533" customFormat="false" ht="15" hidden="false" customHeight="true" outlineLevel="0" collapsed="false">
      <c r="A533" s="7" t="s">
        <v>129</v>
      </c>
      <c r="B533" s="7" t="s">
        <v>787</v>
      </c>
      <c r="C533" s="7" t="s">
        <v>109</v>
      </c>
      <c r="D533" s="8" t="n">
        <v>0</v>
      </c>
      <c r="E533" s="8" t="n">
        <v>6</v>
      </c>
      <c r="F533" s="8" t="n">
        <f aca="false">D533+E533</f>
        <v>6</v>
      </c>
      <c r="G533" s="23" t="n">
        <f aca="false">IF(F533=0,"n/a",D533/F533)</f>
        <v>0</v>
      </c>
    </row>
    <row r="534" customFormat="false" ht="15" hidden="false" customHeight="true" outlineLevel="0" collapsed="false">
      <c r="A534" s="7" t="s">
        <v>129</v>
      </c>
      <c r="B534" s="7" t="s">
        <v>788</v>
      </c>
      <c r="C534" s="7" t="s">
        <v>109</v>
      </c>
      <c r="D534" s="8" t="n">
        <v>3</v>
      </c>
      <c r="E534" s="8" t="n">
        <v>2</v>
      </c>
      <c r="F534" s="8" t="n">
        <f aca="false">D534+E534</f>
        <v>5</v>
      </c>
      <c r="G534" s="23" t="n">
        <f aca="false">IF(F534=0,"n/a",D534/F534)</f>
        <v>0.6</v>
      </c>
    </row>
    <row r="535" customFormat="false" ht="15" hidden="false" customHeight="true" outlineLevel="0" collapsed="false">
      <c r="A535" s="7" t="s">
        <v>129</v>
      </c>
      <c r="B535" s="7" t="s">
        <v>789</v>
      </c>
      <c r="C535" s="7" t="s">
        <v>109</v>
      </c>
      <c r="D535" s="8" t="n">
        <v>0</v>
      </c>
      <c r="E535" s="8" t="n">
        <v>3</v>
      </c>
      <c r="F535" s="8" t="n">
        <f aca="false">D535+E535</f>
        <v>3</v>
      </c>
      <c r="G535" s="23" t="n">
        <f aca="false">IF(F535=0,"n/a",D535/F535)</f>
        <v>0</v>
      </c>
    </row>
    <row r="536" customFormat="false" ht="15" hidden="false" customHeight="true" outlineLevel="0" collapsed="false">
      <c r="A536" s="7" t="s">
        <v>129</v>
      </c>
      <c r="B536" s="7" t="s">
        <v>790</v>
      </c>
      <c r="C536" s="7" t="s">
        <v>109</v>
      </c>
      <c r="D536" s="8" t="n">
        <v>1</v>
      </c>
      <c r="E536" s="8" t="n">
        <v>2</v>
      </c>
      <c r="F536" s="8" t="n">
        <f aca="false">D536+E536</f>
        <v>3</v>
      </c>
      <c r="G536" s="23" t="n">
        <f aca="false">IF(F536=0,"n/a",D536/F536)</f>
        <v>0.333333333333333</v>
      </c>
    </row>
    <row r="537" customFormat="false" ht="15" hidden="false" customHeight="true" outlineLevel="0" collapsed="false">
      <c r="A537" s="7" t="s">
        <v>129</v>
      </c>
      <c r="B537" s="7" t="s">
        <v>791</v>
      </c>
      <c r="C537" s="7" t="s">
        <v>109</v>
      </c>
      <c r="D537" s="8" t="n">
        <v>1</v>
      </c>
      <c r="E537" s="8" t="n">
        <v>1</v>
      </c>
      <c r="F537" s="8" t="n">
        <f aca="false">D537+E537</f>
        <v>2</v>
      </c>
      <c r="G537" s="23" t="n">
        <f aca="false">IF(F537=0,"n/a",D537/F537)</f>
        <v>0.5</v>
      </c>
    </row>
    <row r="538" customFormat="false" ht="15" hidden="false" customHeight="true" outlineLevel="0" collapsed="false">
      <c r="A538" s="7" t="s">
        <v>129</v>
      </c>
      <c r="B538" s="7" t="s">
        <v>792</v>
      </c>
      <c r="C538" s="7" t="s">
        <v>109</v>
      </c>
      <c r="D538" s="8" t="n">
        <v>0</v>
      </c>
      <c r="E538" s="8" t="n">
        <v>2</v>
      </c>
      <c r="F538" s="8" t="n">
        <f aca="false">D538+E538</f>
        <v>2</v>
      </c>
      <c r="G538" s="23" t="n">
        <f aca="false">IF(F538=0,"n/a",D538/F538)</f>
        <v>0</v>
      </c>
    </row>
    <row r="539" customFormat="false" ht="15" hidden="false" customHeight="true" outlineLevel="0" collapsed="false">
      <c r="A539" s="7" t="s">
        <v>129</v>
      </c>
      <c r="B539" s="7" t="s">
        <v>793</v>
      </c>
      <c r="C539" s="7" t="s">
        <v>109</v>
      </c>
      <c r="D539" s="8" t="n">
        <v>1</v>
      </c>
      <c r="E539" s="8" t="n">
        <v>1</v>
      </c>
      <c r="F539" s="8" t="n">
        <f aca="false">D539+E539</f>
        <v>2</v>
      </c>
      <c r="G539" s="23" t="n">
        <f aca="false">IF(F539=0,"n/a",D539/F539)</f>
        <v>0.5</v>
      </c>
    </row>
    <row r="540" customFormat="false" ht="15" hidden="false" customHeight="true" outlineLevel="0" collapsed="false">
      <c r="A540" s="7" t="s">
        <v>129</v>
      </c>
      <c r="B540" s="7" t="s">
        <v>794</v>
      </c>
      <c r="C540" s="7" t="s">
        <v>109</v>
      </c>
      <c r="D540" s="8" t="n">
        <v>0</v>
      </c>
      <c r="E540" s="8" t="n">
        <v>1</v>
      </c>
      <c r="F540" s="8" t="n">
        <f aca="false">D540+E540</f>
        <v>1</v>
      </c>
      <c r="G540" s="23" t="n">
        <f aca="false">IF(F540=0,"n/a",D540/F540)</f>
        <v>0</v>
      </c>
    </row>
    <row r="541" customFormat="false" ht="15" hidden="false" customHeight="true" outlineLevel="0" collapsed="false">
      <c r="A541" s="7" t="s">
        <v>129</v>
      </c>
      <c r="B541" s="7" t="s">
        <v>795</v>
      </c>
      <c r="C541" s="7" t="s">
        <v>109</v>
      </c>
      <c r="D541" s="8" t="n">
        <v>0</v>
      </c>
      <c r="E541" s="8" t="n">
        <v>1</v>
      </c>
      <c r="F541" s="8" t="n">
        <f aca="false">D541+E541</f>
        <v>1</v>
      </c>
      <c r="G541" s="23" t="n">
        <f aca="false">IF(F541=0,"n/a",D541/F541)</f>
        <v>0</v>
      </c>
    </row>
    <row r="542" customFormat="false" ht="15" hidden="false" customHeight="true" outlineLevel="0" collapsed="false">
      <c r="A542" s="7" t="s">
        <v>129</v>
      </c>
      <c r="B542" s="7" t="s">
        <v>796</v>
      </c>
      <c r="C542" s="7" t="s">
        <v>109</v>
      </c>
      <c r="D542" s="8" t="n">
        <v>0</v>
      </c>
      <c r="E542" s="8" t="n">
        <v>1</v>
      </c>
      <c r="F542" s="8" t="n">
        <f aca="false">D542+E542</f>
        <v>1</v>
      </c>
      <c r="G542" s="23" t="n">
        <f aca="false">IF(F542=0,"n/a",D542/F542)</f>
        <v>0</v>
      </c>
    </row>
    <row r="543" customFormat="false" ht="15" hidden="false" customHeight="true" outlineLevel="0" collapsed="false">
      <c r="A543" s="7" t="s">
        <v>129</v>
      </c>
      <c r="B543" s="7" t="s">
        <v>797</v>
      </c>
      <c r="C543" s="7" t="s">
        <v>109</v>
      </c>
      <c r="D543" s="8" t="n">
        <v>1</v>
      </c>
      <c r="E543" s="8" t="n">
        <v>0</v>
      </c>
      <c r="F543" s="8" t="n">
        <f aca="false">D543+E543</f>
        <v>1</v>
      </c>
      <c r="G543" s="23" t="n">
        <f aca="false">IF(F543=0,"n/a",D543/F543)</f>
        <v>1</v>
      </c>
    </row>
    <row r="544" customFormat="false" ht="15" hidden="false" customHeight="true" outlineLevel="0" collapsed="false">
      <c r="A544" s="7" t="s">
        <v>129</v>
      </c>
      <c r="B544" s="7" t="s">
        <v>798</v>
      </c>
      <c r="C544" s="7" t="s">
        <v>109</v>
      </c>
      <c r="D544" s="8" t="n">
        <v>1</v>
      </c>
      <c r="E544" s="8" t="n">
        <v>0</v>
      </c>
      <c r="F544" s="8" t="n">
        <f aca="false">D544+E544</f>
        <v>1</v>
      </c>
      <c r="G544" s="23" t="n">
        <f aca="false">IF(F544=0,"n/a",D544/F544)</f>
        <v>1</v>
      </c>
    </row>
    <row r="545" customFormat="false" ht="15" hidden="false" customHeight="true" outlineLevel="0" collapsed="false">
      <c r="A545" s="7" t="s">
        <v>129</v>
      </c>
      <c r="B545" s="7" t="s">
        <v>799</v>
      </c>
      <c r="C545" s="7" t="s">
        <v>109</v>
      </c>
      <c r="D545" s="8" t="n">
        <v>0</v>
      </c>
      <c r="E545" s="8" t="n">
        <v>1</v>
      </c>
      <c r="F545" s="8" t="n">
        <f aca="false">D545+E545</f>
        <v>1</v>
      </c>
      <c r="G545" s="23" t="n">
        <f aca="false">IF(F545=0,"n/a",D545/F545)</f>
        <v>0</v>
      </c>
    </row>
    <row r="546" customFormat="false" ht="15" hidden="false" customHeight="true" outlineLevel="0" collapsed="false">
      <c r="A546" s="7" t="s">
        <v>129</v>
      </c>
      <c r="B546" s="7" t="s">
        <v>800</v>
      </c>
      <c r="C546" s="7" t="s">
        <v>109</v>
      </c>
      <c r="D546" s="8" t="n">
        <v>1</v>
      </c>
      <c r="E546" s="8" t="n">
        <v>0</v>
      </c>
      <c r="F546" s="8" t="n">
        <f aca="false">D546+E546</f>
        <v>1</v>
      </c>
      <c r="G546" s="23" t="n">
        <f aca="false">IF(F546=0,"n/a",D546/F546)</f>
        <v>1</v>
      </c>
    </row>
    <row r="547" customFormat="false" ht="15" hidden="false" customHeight="true" outlineLevel="0" collapsed="false">
      <c r="A547" s="7" t="s">
        <v>129</v>
      </c>
      <c r="B547" s="7" t="s">
        <v>801</v>
      </c>
      <c r="C547" s="7" t="s">
        <v>109</v>
      </c>
      <c r="D547" s="8" t="n">
        <v>0</v>
      </c>
      <c r="E547" s="8" t="n">
        <v>1</v>
      </c>
      <c r="F547" s="8" t="n">
        <f aca="false">D547+E547</f>
        <v>1</v>
      </c>
      <c r="G547" s="23" t="n">
        <f aca="false">IF(F547=0,"n/a",D547/F547)</f>
        <v>0</v>
      </c>
    </row>
    <row r="548" customFormat="false" ht="15" hidden="false" customHeight="true" outlineLevel="0" collapsed="false">
      <c r="A548" s="7" t="s">
        <v>129</v>
      </c>
      <c r="B548" s="7" t="s">
        <v>802</v>
      </c>
      <c r="C548" s="7" t="s">
        <v>109</v>
      </c>
      <c r="D548" s="8" t="n">
        <v>1</v>
      </c>
      <c r="E548" s="8" t="n">
        <v>0</v>
      </c>
      <c r="F548" s="8" t="n">
        <f aca="false">D548+E548</f>
        <v>1</v>
      </c>
      <c r="G548" s="23" t="n">
        <f aca="false">IF(F548=0,"n/a",D548/F548)</f>
        <v>1</v>
      </c>
    </row>
    <row r="549" customFormat="false" ht="15" hidden="false" customHeight="true" outlineLevel="0" collapsed="false">
      <c r="A549" s="7" t="s">
        <v>129</v>
      </c>
      <c r="B549" s="7" t="s">
        <v>803</v>
      </c>
      <c r="C549" s="7" t="s">
        <v>109</v>
      </c>
      <c r="D549" s="8" t="n">
        <v>1</v>
      </c>
      <c r="E549" s="8" t="n">
        <v>0</v>
      </c>
      <c r="F549" s="8" t="n">
        <f aca="false">D549+E549</f>
        <v>1</v>
      </c>
      <c r="G549" s="23" t="n">
        <f aca="false">IF(F549=0,"n/a",D549/F549)</f>
        <v>1</v>
      </c>
    </row>
    <row r="550" customFormat="false" ht="15" hidden="false" customHeight="true" outlineLevel="0" collapsed="false">
      <c r="A550" s="7" t="s">
        <v>129</v>
      </c>
      <c r="B550" s="7" t="s">
        <v>804</v>
      </c>
      <c r="C550" s="7" t="s">
        <v>109</v>
      </c>
      <c r="D550" s="8" t="n">
        <v>0</v>
      </c>
      <c r="E550" s="8" t="n">
        <v>1</v>
      </c>
      <c r="F550" s="8" t="n">
        <f aca="false">D550+E550</f>
        <v>1</v>
      </c>
      <c r="G550" s="23" t="n">
        <f aca="false">IF(F550=0,"n/a",D550/F550)</f>
        <v>0</v>
      </c>
    </row>
    <row r="551" customFormat="false" ht="15" hidden="false" customHeight="true" outlineLevel="0" collapsed="false">
      <c r="A551" s="7" t="s">
        <v>129</v>
      </c>
      <c r="B551" s="7" t="s">
        <v>805</v>
      </c>
      <c r="C551" s="7" t="s">
        <v>109</v>
      </c>
      <c r="D551" s="8" t="n">
        <v>0</v>
      </c>
      <c r="E551" s="8" t="n">
        <v>1</v>
      </c>
      <c r="F551" s="8" t="n">
        <f aca="false">D551+E551</f>
        <v>1</v>
      </c>
      <c r="G551" s="23" t="n">
        <f aca="false">IF(F551=0,"n/a",D551/F551)</f>
        <v>0</v>
      </c>
    </row>
    <row r="552" customFormat="false" ht="15" hidden="false" customHeight="true" outlineLevel="0" collapsed="false">
      <c r="A552" s="7" t="s">
        <v>130</v>
      </c>
      <c r="B552" s="7" t="s">
        <v>806</v>
      </c>
      <c r="C552" s="7" t="s">
        <v>107</v>
      </c>
      <c r="D552" s="8" t="n">
        <v>0</v>
      </c>
      <c r="E552" s="8" t="n">
        <v>9</v>
      </c>
      <c r="F552" s="8" t="n">
        <f aca="false">D552+E552</f>
        <v>9</v>
      </c>
      <c r="G552" s="23" t="n">
        <f aca="false">IF(F552=0,"n/a",D552/F552)</f>
        <v>0</v>
      </c>
    </row>
    <row r="553" customFormat="false" ht="15" hidden="false" customHeight="true" outlineLevel="0" collapsed="false">
      <c r="A553" s="7" t="s">
        <v>130</v>
      </c>
      <c r="B553" s="7" t="s">
        <v>807</v>
      </c>
      <c r="C553" s="7" t="s">
        <v>107</v>
      </c>
      <c r="D553" s="8" t="n">
        <v>0</v>
      </c>
      <c r="E553" s="8" t="n">
        <v>8</v>
      </c>
      <c r="F553" s="8" t="n">
        <f aca="false">D553+E553</f>
        <v>8</v>
      </c>
      <c r="G553" s="23" t="n">
        <f aca="false">IF(F553=0,"n/a",D553/F553)</f>
        <v>0</v>
      </c>
    </row>
    <row r="554" customFormat="false" ht="15" hidden="false" customHeight="true" outlineLevel="0" collapsed="false">
      <c r="A554" s="7" t="s">
        <v>130</v>
      </c>
      <c r="B554" s="7" t="s">
        <v>808</v>
      </c>
      <c r="C554" s="7" t="s">
        <v>107</v>
      </c>
      <c r="D554" s="8" t="n">
        <v>0</v>
      </c>
      <c r="E554" s="8" t="n">
        <v>1</v>
      </c>
      <c r="F554" s="8" t="n">
        <f aca="false">D554+E554</f>
        <v>1</v>
      </c>
      <c r="G554" s="23" t="n">
        <f aca="false">IF(F554=0,"n/a",D554/F554)</f>
        <v>0</v>
      </c>
    </row>
    <row r="555" customFormat="false" ht="15" hidden="false" customHeight="true" outlineLevel="0" collapsed="false">
      <c r="A555" s="7" t="s">
        <v>130</v>
      </c>
      <c r="B555" s="7" t="s">
        <v>809</v>
      </c>
      <c r="C555" s="7" t="s">
        <v>107</v>
      </c>
      <c r="D555" s="8" t="n">
        <v>1</v>
      </c>
      <c r="E555" s="8" t="n">
        <v>0</v>
      </c>
      <c r="F555" s="8" t="n">
        <f aca="false">D555+E555</f>
        <v>1</v>
      </c>
      <c r="G555" s="23" t="n">
        <f aca="false">IF(F555=0,"n/a",D555/F555)</f>
        <v>1</v>
      </c>
    </row>
    <row r="556" customFormat="false" ht="15" hidden="false" customHeight="true" outlineLevel="0" collapsed="false">
      <c r="A556" s="7" t="s">
        <v>130</v>
      </c>
      <c r="B556" s="7" t="s">
        <v>563</v>
      </c>
      <c r="C556" s="7" t="s">
        <v>107</v>
      </c>
      <c r="D556" s="8" t="n">
        <v>1</v>
      </c>
      <c r="E556" s="8" t="n">
        <v>0</v>
      </c>
      <c r="F556" s="8" t="n">
        <f aca="false">D556+E556</f>
        <v>1</v>
      </c>
      <c r="G556" s="23" t="n">
        <f aca="false">IF(F556=0,"n/a",D556/F556)</f>
        <v>1</v>
      </c>
    </row>
    <row r="557" customFormat="false" ht="15" hidden="false" customHeight="true" outlineLevel="0" collapsed="false">
      <c r="A557" s="7" t="s">
        <v>130</v>
      </c>
      <c r="B557" s="7" t="s">
        <v>628</v>
      </c>
      <c r="C557" s="7" t="s">
        <v>107</v>
      </c>
      <c r="D557" s="8" t="n">
        <v>1</v>
      </c>
      <c r="E557" s="8" t="n">
        <v>0</v>
      </c>
      <c r="F557" s="8" t="n">
        <f aca="false">D557+E557</f>
        <v>1</v>
      </c>
      <c r="G557" s="23" t="n">
        <f aca="false">IF(F557=0,"n/a",D557/F557)</f>
        <v>1</v>
      </c>
    </row>
    <row r="558" customFormat="false" ht="15" hidden="false" customHeight="true" outlineLevel="0" collapsed="false">
      <c r="A558" s="7" t="s">
        <v>130</v>
      </c>
      <c r="B558" s="7" t="s">
        <v>810</v>
      </c>
      <c r="C558" s="7" t="s">
        <v>107</v>
      </c>
      <c r="D558" s="8" t="n">
        <v>1</v>
      </c>
      <c r="E558" s="8" t="n">
        <v>0</v>
      </c>
      <c r="F558" s="8" t="n">
        <f aca="false">D558+E558</f>
        <v>1</v>
      </c>
      <c r="G558" s="23" t="n">
        <f aca="false">IF(F558=0,"n/a",D558/F558)</f>
        <v>1</v>
      </c>
    </row>
    <row r="559" customFormat="false" ht="15" hidden="false" customHeight="true" outlineLevel="0" collapsed="false">
      <c r="A559" s="7" t="s">
        <v>68</v>
      </c>
      <c r="B559" s="7" t="s">
        <v>811</v>
      </c>
      <c r="C559" s="7" t="s">
        <v>131</v>
      </c>
      <c r="D559" s="15" t="n">
        <v>16</v>
      </c>
      <c r="E559" s="15" t="n">
        <v>7</v>
      </c>
      <c r="F559" s="8" t="n">
        <f aca="false">D559+E559</f>
        <v>23</v>
      </c>
      <c r="G559" s="23" t="n">
        <f aca="false">IF(F559=0,"n/a",D559/F559)</f>
        <v>0.695652173913044</v>
      </c>
    </row>
    <row r="560" customFormat="false" ht="15" hidden="false" customHeight="true" outlineLevel="0" collapsed="false">
      <c r="A560" s="7" t="s">
        <v>68</v>
      </c>
      <c r="B560" s="7" t="s">
        <v>812</v>
      </c>
      <c r="C560" s="7" t="s">
        <v>131</v>
      </c>
      <c r="D560" s="8" t="n">
        <v>3</v>
      </c>
      <c r="E560" s="8" t="n">
        <v>12</v>
      </c>
      <c r="F560" s="8" t="n">
        <f aca="false">D560+E560</f>
        <v>15</v>
      </c>
      <c r="G560" s="23" t="n">
        <f aca="false">IF(F560=0,"n/a",D560/F560)</f>
        <v>0.2</v>
      </c>
    </row>
    <row r="561" customFormat="false" ht="15" hidden="false" customHeight="true" outlineLevel="0" collapsed="false">
      <c r="A561" s="7" t="s">
        <v>68</v>
      </c>
      <c r="B561" s="7" t="s">
        <v>813</v>
      </c>
      <c r="C561" s="7" t="s">
        <v>131</v>
      </c>
      <c r="D561" s="8" t="n">
        <v>6</v>
      </c>
      <c r="E561" s="8" t="n">
        <v>7</v>
      </c>
      <c r="F561" s="8" t="n">
        <f aca="false">D561+E561</f>
        <v>13</v>
      </c>
      <c r="G561" s="23" t="n">
        <f aca="false">IF(F561=0,"n/a",D561/F561)</f>
        <v>0.461538461538462</v>
      </c>
    </row>
    <row r="562" customFormat="false" ht="15" hidden="false" customHeight="true" outlineLevel="0" collapsed="false">
      <c r="A562" s="7" t="s">
        <v>68</v>
      </c>
      <c r="B562" s="7" t="s">
        <v>814</v>
      </c>
      <c r="C562" s="7" t="s">
        <v>131</v>
      </c>
      <c r="D562" s="8" t="n">
        <v>8</v>
      </c>
      <c r="E562" s="8" t="n">
        <v>4</v>
      </c>
      <c r="F562" s="8" t="n">
        <f aca="false">D562+E562</f>
        <v>12</v>
      </c>
      <c r="G562" s="23" t="n">
        <f aca="false">IF(F562=0,"n/a",D562/F562)</f>
        <v>0.666666666666667</v>
      </c>
    </row>
    <row r="563" customFormat="false" ht="15" hidden="false" customHeight="true" outlineLevel="0" collapsed="false">
      <c r="A563" s="7" t="s">
        <v>68</v>
      </c>
      <c r="B563" s="7" t="s">
        <v>815</v>
      </c>
      <c r="C563" s="7" t="s">
        <v>131</v>
      </c>
      <c r="D563" s="8" t="n">
        <v>3</v>
      </c>
      <c r="E563" s="8" t="n">
        <v>7</v>
      </c>
      <c r="F563" s="8" t="n">
        <f aca="false">D563+E563</f>
        <v>10</v>
      </c>
      <c r="G563" s="23" t="n">
        <f aca="false">IF(F563=0,"n/a",D563/F563)</f>
        <v>0.3</v>
      </c>
    </row>
    <row r="564" customFormat="false" ht="15" hidden="false" customHeight="true" outlineLevel="0" collapsed="false">
      <c r="A564" s="7" t="s">
        <v>68</v>
      </c>
      <c r="B564" s="7" t="s">
        <v>816</v>
      </c>
      <c r="C564" s="7" t="s">
        <v>131</v>
      </c>
      <c r="D564" s="15" t="n">
        <v>0</v>
      </c>
      <c r="E564" s="15" t="n">
        <v>10</v>
      </c>
      <c r="F564" s="8" t="n">
        <f aca="false">D564+E564</f>
        <v>10</v>
      </c>
      <c r="G564" s="23" t="n">
        <f aca="false">IF(F564=0,"n/a",D564/F564)</f>
        <v>0</v>
      </c>
    </row>
    <row r="565" customFormat="false" ht="15" hidden="false" customHeight="true" outlineLevel="0" collapsed="false">
      <c r="A565" s="7" t="s">
        <v>68</v>
      </c>
      <c r="B565" s="7" t="s">
        <v>565</v>
      </c>
      <c r="C565" s="7" t="s">
        <v>131</v>
      </c>
      <c r="D565" s="8" t="n">
        <v>0</v>
      </c>
      <c r="E565" s="8" t="n">
        <v>8</v>
      </c>
      <c r="F565" s="8" t="n">
        <f aca="false">D565+E565</f>
        <v>8</v>
      </c>
      <c r="G565" s="23" t="n">
        <f aca="false">IF(F565=0,"n/a",D565/F565)</f>
        <v>0</v>
      </c>
    </row>
    <row r="566" customFormat="false" ht="15" hidden="false" customHeight="true" outlineLevel="0" collapsed="false">
      <c r="A566" s="7" t="s">
        <v>68</v>
      </c>
      <c r="B566" s="7" t="s">
        <v>817</v>
      </c>
      <c r="C566" s="7" t="s">
        <v>131</v>
      </c>
      <c r="D566" s="8" t="n">
        <v>6</v>
      </c>
      <c r="E566" s="8" t="n">
        <v>1</v>
      </c>
      <c r="F566" s="8" t="n">
        <f aca="false">D566+E566</f>
        <v>7</v>
      </c>
      <c r="G566" s="23" t="n">
        <f aca="false">IF(F566=0,"n/a",D566/F566)</f>
        <v>0.857142857142857</v>
      </c>
    </row>
    <row r="567" customFormat="false" ht="15" hidden="false" customHeight="true" outlineLevel="0" collapsed="false">
      <c r="A567" s="7" t="s">
        <v>68</v>
      </c>
      <c r="B567" s="7" t="s">
        <v>818</v>
      </c>
      <c r="C567" s="7" t="s">
        <v>131</v>
      </c>
      <c r="D567" s="8" t="n">
        <v>7</v>
      </c>
      <c r="E567" s="8" t="n">
        <v>0</v>
      </c>
      <c r="F567" s="8" t="n">
        <f aca="false">D567+E567</f>
        <v>7</v>
      </c>
      <c r="G567" s="23" t="n">
        <f aca="false">IF(F567=0,"n/a",D567/F567)</f>
        <v>1</v>
      </c>
    </row>
    <row r="568" customFormat="false" ht="15" hidden="false" customHeight="true" outlineLevel="0" collapsed="false">
      <c r="A568" s="7" t="s">
        <v>68</v>
      </c>
      <c r="B568" s="7" t="s">
        <v>819</v>
      </c>
      <c r="C568" s="7" t="s">
        <v>131</v>
      </c>
      <c r="D568" s="8" t="n">
        <v>0</v>
      </c>
      <c r="E568" s="8" t="n">
        <v>7</v>
      </c>
      <c r="F568" s="8" t="n">
        <f aca="false">D568+E568</f>
        <v>7</v>
      </c>
      <c r="G568" s="23" t="n">
        <f aca="false">IF(F568=0,"n/a",D568/F568)</f>
        <v>0</v>
      </c>
    </row>
    <row r="569" customFormat="false" ht="15" hidden="false" customHeight="true" outlineLevel="0" collapsed="false">
      <c r="A569" s="7" t="s">
        <v>68</v>
      </c>
      <c r="B569" s="7" t="s">
        <v>820</v>
      </c>
      <c r="C569" s="7" t="s">
        <v>131</v>
      </c>
      <c r="D569" s="8" t="n">
        <v>5</v>
      </c>
      <c r="E569" s="8" t="n">
        <v>1</v>
      </c>
      <c r="F569" s="8" t="n">
        <f aca="false">D569+E569</f>
        <v>6</v>
      </c>
      <c r="G569" s="23" t="n">
        <f aca="false">IF(F569=0,"n/a",D569/F569)</f>
        <v>0.833333333333333</v>
      </c>
    </row>
    <row r="570" customFormat="false" ht="15" hidden="false" customHeight="true" outlineLevel="0" collapsed="false">
      <c r="A570" s="7" t="s">
        <v>68</v>
      </c>
      <c r="B570" s="7" t="s">
        <v>821</v>
      </c>
      <c r="C570" s="7" t="s">
        <v>131</v>
      </c>
      <c r="D570" s="8" t="n">
        <v>2</v>
      </c>
      <c r="E570" s="8" t="n">
        <v>3</v>
      </c>
      <c r="F570" s="8" t="n">
        <f aca="false">D570+E570</f>
        <v>5</v>
      </c>
      <c r="G570" s="23" t="n">
        <f aca="false">IF(F570=0,"n/a",D570/F570)</f>
        <v>0.4</v>
      </c>
    </row>
    <row r="571" customFormat="false" ht="15" hidden="false" customHeight="true" outlineLevel="0" collapsed="false">
      <c r="A571" s="7" t="s">
        <v>68</v>
      </c>
      <c r="B571" s="7" t="s">
        <v>822</v>
      </c>
      <c r="C571" s="7" t="s">
        <v>131</v>
      </c>
      <c r="D571" s="8" t="n">
        <v>5</v>
      </c>
      <c r="E571" s="8" t="n">
        <v>0</v>
      </c>
      <c r="F571" s="8" t="n">
        <f aca="false">D571+E571</f>
        <v>5</v>
      </c>
      <c r="G571" s="23" t="n">
        <f aca="false">IF(F571=0,"n/a",D571/F571)</f>
        <v>1</v>
      </c>
    </row>
    <row r="572" customFormat="false" ht="15" hidden="false" customHeight="true" outlineLevel="0" collapsed="false">
      <c r="A572" s="7" t="s">
        <v>68</v>
      </c>
      <c r="B572" s="7" t="s">
        <v>823</v>
      </c>
      <c r="C572" s="7" t="s">
        <v>131</v>
      </c>
      <c r="D572" s="8" t="n">
        <v>0</v>
      </c>
      <c r="E572" s="8" t="n">
        <v>5</v>
      </c>
      <c r="F572" s="8" t="n">
        <f aca="false">D572+E572</f>
        <v>5</v>
      </c>
      <c r="G572" s="23" t="n">
        <f aca="false">IF(F572=0,"n/a",D572/F572)</f>
        <v>0</v>
      </c>
    </row>
    <row r="573" customFormat="false" ht="15" hidden="false" customHeight="true" outlineLevel="0" collapsed="false">
      <c r="A573" s="7" t="s">
        <v>68</v>
      </c>
      <c r="B573" s="7" t="s">
        <v>824</v>
      </c>
      <c r="C573" s="7" t="s">
        <v>131</v>
      </c>
      <c r="D573" s="8" t="n">
        <v>0</v>
      </c>
      <c r="E573" s="8" t="n">
        <v>5</v>
      </c>
      <c r="F573" s="8" t="n">
        <f aca="false">D573+E573</f>
        <v>5</v>
      </c>
      <c r="G573" s="23" t="n">
        <f aca="false">IF(F573=0,"n/a",D573/F573)</f>
        <v>0</v>
      </c>
    </row>
    <row r="574" customFormat="false" ht="15" hidden="false" customHeight="true" outlineLevel="0" collapsed="false">
      <c r="A574" s="7" t="s">
        <v>68</v>
      </c>
      <c r="B574" s="7" t="s">
        <v>825</v>
      </c>
      <c r="C574" s="7" t="s">
        <v>131</v>
      </c>
      <c r="D574" s="8" t="n">
        <v>1</v>
      </c>
      <c r="E574" s="8" t="n">
        <v>3</v>
      </c>
      <c r="F574" s="8" t="n">
        <f aca="false">D574+E574</f>
        <v>4</v>
      </c>
      <c r="G574" s="23" t="n">
        <f aca="false">IF(F574=0,"n/a",D574/F574)</f>
        <v>0.25</v>
      </c>
    </row>
    <row r="575" customFormat="false" ht="15" hidden="false" customHeight="true" outlineLevel="0" collapsed="false">
      <c r="A575" s="7" t="s">
        <v>68</v>
      </c>
      <c r="B575" s="7" t="s">
        <v>826</v>
      </c>
      <c r="C575" s="7" t="s">
        <v>131</v>
      </c>
      <c r="D575" s="8" t="n">
        <v>2</v>
      </c>
      <c r="E575" s="8" t="n">
        <v>2</v>
      </c>
      <c r="F575" s="8" t="n">
        <f aca="false">D575+E575</f>
        <v>4</v>
      </c>
      <c r="G575" s="23" t="n">
        <f aca="false">IF(F575=0,"n/a",D575/F575)</f>
        <v>0.5</v>
      </c>
    </row>
    <row r="576" customFormat="false" ht="15" hidden="false" customHeight="true" outlineLevel="0" collapsed="false">
      <c r="A576" s="7" t="s">
        <v>68</v>
      </c>
      <c r="B576" s="7" t="s">
        <v>827</v>
      </c>
      <c r="C576" s="7" t="s">
        <v>131</v>
      </c>
      <c r="D576" s="8" t="n">
        <v>1</v>
      </c>
      <c r="E576" s="8" t="n">
        <v>3</v>
      </c>
      <c r="F576" s="8" t="n">
        <f aca="false">D576+E576</f>
        <v>4</v>
      </c>
      <c r="G576" s="23" t="n">
        <f aca="false">IF(F576=0,"n/a",D576/F576)</f>
        <v>0.25</v>
      </c>
    </row>
    <row r="577" customFormat="false" ht="15" hidden="false" customHeight="true" outlineLevel="0" collapsed="false">
      <c r="A577" s="7" t="s">
        <v>68</v>
      </c>
      <c r="B577" s="7" t="s">
        <v>397</v>
      </c>
      <c r="C577" s="7" t="s">
        <v>131</v>
      </c>
      <c r="D577" s="8" t="n">
        <v>1</v>
      </c>
      <c r="E577" s="8" t="n">
        <v>3</v>
      </c>
      <c r="F577" s="8" t="n">
        <f aca="false">D577+E577</f>
        <v>4</v>
      </c>
      <c r="G577" s="23" t="n">
        <f aca="false">IF(F577=0,"n/a",D577/F577)</f>
        <v>0.25</v>
      </c>
    </row>
    <row r="578" customFormat="false" ht="15" hidden="false" customHeight="true" outlineLevel="0" collapsed="false">
      <c r="A578" s="7" t="s">
        <v>68</v>
      </c>
      <c r="B578" s="7" t="s">
        <v>828</v>
      </c>
      <c r="C578" s="7" t="s">
        <v>131</v>
      </c>
      <c r="D578" s="8" t="n">
        <v>0</v>
      </c>
      <c r="E578" s="8" t="n">
        <v>3</v>
      </c>
      <c r="F578" s="8" t="n">
        <f aca="false">D578+E578</f>
        <v>3</v>
      </c>
      <c r="G578" s="23" t="n">
        <f aca="false">IF(F578=0,"n/a",D578/F578)</f>
        <v>0</v>
      </c>
    </row>
    <row r="579" customFormat="false" ht="15" hidden="false" customHeight="true" outlineLevel="0" collapsed="false">
      <c r="A579" s="7" t="s">
        <v>68</v>
      </c>
      <c r="B579" s="7" t="s">
        <v>829</v>
      </c>
      <c r="C579" s="7" t="s">
        <v>131</v>
      </c>
      <c r="D579" s="8" t="n">
        <v>0</v>
      </c>
      <c r="E579" s="8" t="n">
        <v>3</v>
      </c>
      <c r="F579" s="8" t="n">
        <f aca="false">D579+E579</f>
        <v>3</v>
      </c>
      <c r="G579" s="23" t="n">
        <f aca="false">IF(F579=0,"n/a",D579/F579)</f>
        <v>0</v>
      </c>
    </row>
    <row r="580" customFormat="false" ht="15" hidden="false" customHeight="true" outlineLevel="0" collapsed="false">
      <c r="A580" s="7" t="s">
        <v>68</v>
      </c>
      <c r="B580" s="7" t="s">
        <v>830</v>
      </c>
      <c r="C580" s="7" t="s">
        <v>131</v>
      </c>
      <c r="D580" s="8" t="n">
        <v>1</v>
      </c>
      <c r="E580" s="8" t="n">
        <v>2</v>
      </c>
      <c r="F580" s="8" t="n">
        <f aca="false">D580+E580</f>
        <v>3</v>
      </c>
      <c r="G580" s="23" t="n">
        <f aca="false">IF(F580=0,"n/a",D580/F580)</f>
        <v>0.333333333333333</v>
      </c>
    </row>
    <row r="581" customFormat="false" ht="15" hidden="false" customHeight="true" outlineLevel="0" collapsed="false">
      <c r="A581" s="7" t="s">
        <v>68</v>
      </c>
      <c r="B581" s="7" t="s">
        <v>831</v>
      </c>
      <c r="C581" s="7" t="s">
        <v>131</v>
      </c>
      <c r="D581" s="8" t="n">
        <v>0</v>
      </c>
      <c r="E581" s="8" t="n">
        <v>3</v>
      </c>
      <c r="F581" s="8" t="n">
        <f aca="false">D581+E581</f>
        <v>3</v>
      </c>
      <c r="G581" s="23" t="n">
        <f aca="false">IF(F581=0,"n/a",D581/F581)</f>
        <v>0</v>
      </c>
    </row>
    <row r="582" customFormat="false" ht="15" hidden="false" customHeight="true" outlineLevel="0" collapsed="false">
      <c r="A582" s="7" t="s">
        <v>68</v>
      </c>
      <c r="B582" s="7" t="s">
        <v>832</v>
      </c>
      <c r="C582" s="7" t="s">
        <v>131</v>
      </c>
      <c r="D582" s="8" t="n">
        <v>2</v>
      </c>
      <c r="E582" s="8" t="n">
        <v>1</v>
      </c>
      <c r="F582" s="8" t="n">
        <f aca="false">D582+E582</f>
        <v>3</v>
      </c>
      <c r="G582" s="23" t="n">
        <f aca="false">IF(F582=0,"n/a",D582/F582)</f>
        <v>0.666666666666667</v>
      </c>
    </row>
    <row r="583" customFormat="false" ht="15" hidden="false" customHeight="true" outlineLevel="0" collapsed="false">
      <c r="A583" s="7" t="s">
        <v>68</v>
      </c>
      <c r="B583" s="7" t="s">
        <v>833</v>
      </c>
      <c r="C583" s="7" t="s">
        <v>131</v>
      </c>
      <c r="D583" s="8" t="n">
        <v>3</v>
      </c>
      <c r="E583" s="8" t="n">
        <v>0</v>
      </c>
      <c r="F583" s="8" t="n">
        <f aca="false">D583+E583</f>
        <v>3</v>
      </c>
      <c r="G583" s="23" t="n">
        <f aca="false">IF(F583=0,"n/a",D583/F583)</f>
        <v>1</v>
      </c>
    </row>
    <row r="584" customFormat="false" ht="15" hidden="false" customHeight="true" outlineLevel="0" collapsed="false">
      <c r="A584" s="7" t="s">
        <v>68</v>
      </c>
      <c r="B584" s="7" t="s">
        <v>834</v>
      </c>
      <c r="C584" s="7" t="s">
        <v>131</v>
      </c>
      <c r="D584" s="8" t="n">
        <v>2</v>
      </c>
      <c r="E584" s="8" t="n">
        <v>0</v>
      </c>
      <c r="F584" s="8" t="n">
        <f aca="false">D584+E584</f>
        <v>2</v>
      </c>
      <c r="G584" s="23" t="n">
        <f aca="false">IF(F584=0,"n/a",D584/F584)</f>
        <v>1</v>
      </c>
    </row>
    <row r="585" customFormat="false" ht="15" hidden="false" customHeight="true" outlineLevel="0" collapsed="false">
      <c r="A585" s="7" t="s">
        <v>68</v>
      </c>
      <c r="B585" s="7" t="s">
        <v>835</v>
      </c>
      <c r="C585" s="7" t="s">
        <v>131</v>
      </c>
      <c r="D585" s="8" t="n">
        <v>0</v>
      </c>
      <c r="E585" s="8" t="n">
        <v>2</v>
      </c>
      <c r="F585" s="8" t="n">
        <f aca="false">D585+E585</f>
        <v>2</v>
      </c>
      <c r="G585" s="23" t="n">
        <f aca="false">IF(F585=0,"n/a",D585/F585)</f>
        <v>0</v>
      </c>
    </row>
    <row r="586" customFormat="false" ht="15" hidden="false" customHeight="true" outlineLevel="0" collapsed="false">
      <c r="A586" s="7" t="s">
        <v>68</v>
      </c>
      <c r="B586" s="7" t="s">
        <v>836</v>
      </c>
      <c r="C586" s="7" t="s">
        <v>131</v>
      </c>
      <c r="D586" s="8" t="n">
        <v>0</v>
      </c>
      <c r="E586" s="8" t="n">
        <v>2</v>
      </c>
      <c r="F586" s="8" t="n">
        <f aca="false">D586+E586</f>
        <v>2</v>
      </c>
      <c r="G586" s="23" t="n">
        <f aca="false">IF(F586=0,"n/a",D586/F586)</f>
        <v>0</v>
      </c>
    </row>
    <row r="587" customFormat="false" ht="15" hidden="false" customHeight="true" outlineLevel="0" collapsed="false">
      <c r="A587" s="7" t="s">
        <v>68</v>
      </c>
      <c r="B587" s="7" t="s">
        <v>837</v>
      </c>
      <c r="C587" s="7" t="s">
        <v>131</v>
      </c>
      <c r="D587" s="8" t="n">
        <v>0</v>
      </c>
      <c r="E587" s="8" t="n">
        <v>2</v>
      </c>
      <c r="F587" s="8" t="n">
        <f aca="false">D587+E587</f>
        <v>2</v>
      </c>
      <c r="G587" s="23" t="n">
        <f aca="false">IF(F587=0,"n/a",D587/F587)</f>
        <v>0</v>
      </c>
    </row>
    <row r="588" customFormat="false" ht="15" hidden="false" customHeight="true" outlineLevel="0" collapsed="false">
      <c r="A588" s="7" t="s">
        <v>68</v>
      </c>
      <c r="B588" s="7" t="s">
        <v>838</v>
      </c>
      <c r="C588" s="7" t="s">
        <v>131</v>
      </c>
      <c r="D588" s="8" t="n">
        <v>2</v>
      </c>
      <c r="E588" s="8" t="n">
        <v>0</v>
      </c>
      <c r="F588" s="8" t="n">
        <f aca="false">D588+E588</f>
        <v>2</v>
      </c>
      <c r="G588" s="23" t="n">
        <f aca="false">IF(F588=0,"n/a",D588/F588)</f>
        <v>1</v>
      </c>
    </row>
    <row r="589" customFormat="false" ht="15" hidden="false" customHeight="true" outlineLevel="0" collapsed="false">
      <c r="A589" s="7" t="s">
        <v>68</v>
      </c>
      <c r="B589" s="7" t="s">
        <v>839</v>
      </c>
      <c r="C589" s="7" t="s">
        <v>131</v>
      </c>
      <c r="D589" s="8" t="n">
        <v>1</v>
      </c>
      <c r="E589" s="8" t="n">
        <v>1</v>
      </c>
      <c r="F589" s="8" t="n">
        <f aca="false">D589+E589</f>
        <v>2</v>
      </c>
      <c r="G589" s="23" t="n">
        <f aca="false">IF(F589=0,"n/a",D589/F589)</f>
        <v>0.5</v>
      </c>
    </row>
    <row r="590" customFormat="false" ht="15" hidden="false" customHeight="true" outlineLevel="0" collapsed="false">
      <c r="A590" s="7" t="s">
        <v>68</v>
      </c>
      <c r="B590" s="7" t="s">
        <v>840</v>
      </c>
      <c r="C590" s="7" t="s">
        <v>131</v>
      </c>
      <c r="D590" s="8" t="n">
        <v>0</v>
      </c>
      <c r="E590" s="8" t="n">
        <v>2</v>
      </c>
      <c r="F590" s="8" t="n">
        <f aca="false">D590+E590</f>
        <v>2</v>
      </c>
      <c r="G590" s="23" t="n">
        <f aca="false">IF(F590=0,"n/a",D590/F590)</f>
        <v>0</v>
      </c>
    </row>
    <row r="591" customFormat="false" ht="15" hidden="false" customHeight="true" outlineLevel="0" collapsed="false">
      <c r="A591" s="7" t="s">
        <v>68</v>
      </c>
      <c r="B591" s="7" t="s">
        <v>841</v>
      </c>
      <c r="C591" s="7" t="s">
        <v>131</v>
      </c>
      <c r="D591" s="8" t="n">
        <v>2</v>
      </c>
      <c r="E591" s="8" t="n">
        <v>0</v>
      </c>
      <c r="F591" s="8" t="n">
        <f aca="false">D591+E591</f>
        <v>2</v>
      </c>
      <c r="G591" s="23" t="n">
        <f aca="false">IF(F591=0,"n/a",D591/F591)</f>
        <v>1</v>
      </c>
    </row>
    <row r="592" customFormat="false" ht="15" hidden="false" customHeight="true" outlineLevel="0" collapsed="false">
      <c r="A592" s="7" t="s">
        <v>68</v>
      </c>
      <c r="B592" s="7" t="s">
        <v>842</v>
      </c>
      <c r="C592" s="7" t="s">
        <v>131</v>
      </c>
      <c r="D592" s="8" t="n">
        <v>1</v>
      </c>
      <c r="E592" s="8" t="n">
        <v>1</v>
      </c>
      <c r="F592" s="8" t="n">
        <f aca="false">D592+E592</f>
        <v>2</v>
      </c>
      <c r="G592" s="23" t="n">
        <f aca="false">IF(F592=0,"n/a",D592/F592)</f>
        <v>0.5</v>
      </c>
    </row>
    <row r="593" customFormat="false" ht="15" hidden="false" customHeight="true" outlineLevel="0" collapsed="false">
      <c r="A593" s="7" t="s">
        <v>68</v>
      </c>
      <c r="B593" s="7" t="s">
        <v>843</v>
      </c>
      <c r="C593" s="7" t="s">
        <v>131</v>
      </c>
      <c r="D593" s="8" t="n">
        <v>2</v>
      </c>
      <c r="E593" s="8" t="n">
        <v>0</v>
      </c>
      <c r="F593" s="8" t="n">
        <f aca="false">D593+E593</f>
        <v>2</v>
      </c>
      <c r="G593" s="23" t="n">
        <f aca="false">IF(F593=0,"n/a",D593/F593)</f>
        <v>1</v>
      </c>
    </row>
    <row r="594" customFormat="false" ht="15" hidden="false" customHeight="true" outlineLevel="0" collapsed="false">
      <c r="A594" s="7" t="s">
        <v>68</v>
      </c>
      <c r="B594" s="7" t="s">
        <v>844</v>
      </c>
      <c r="C594" s="7" t="s">
        <v>131</v>
      </c>
      <c r="D594" s="8" t="n">
        <v>1</v>
      </c>
      <c r="E594" s="8" t="n">
        <v>1</v>
      </c>
      <c r="F594" s="8" t="n">
        <f aca="false">D594+E594</f>
        <v>2</v>
      </c>
      <c r="G594" s="23" t="n">
        <f aca="false">IF(F594=0,"n/a",D594/F594)</f>
        <v>0.5</v>
      </c>
    </row>
    <row r="595" customFormat="false" ht="15" hidden="false" customHeight="true" outlineLevel="0" collapsed="false">
      <c r="A595" s="7" t="s">
        <v>68</v>
      </c>
      <c r="B595" s="7" t="s">
        <v>845</v>
      </c>
      <c r="C595" s="7" t="s">
        <v>131</v>
      </c>
      <c r="D595" s="8" t="n">
        <v>0</v>
      </c>
      <c r="E595" s="8" t="n">
        <v>2</v>
      </c>
      <c r="F595" s="8" t="n">
        <f aca="false">D595+E595</f>
        <v>2</v>
      </c>
      <c r="G595" s="23" t="n">
        <f aca="false">IF(F595=0,"n/a",D595/F595)</f>
        <v>0</v>
      </c>
    </row>
    <row r="596" customFormat="false" ht="15" hidden="false" customHeight="true" outlineLevel="0" collapsed="false">
      <c r="A596" s="7" t="s">
        <v>68</v>
      </c>
      <c r="B596" s="7" t="s">
        <v>846</v>
      </c>
      <c r="C596" s="7" t="s">
        <v>131</v>
      </c>
      <c r="D596" s="8" t="n">
        <v>1</v>
      </c>
      <c r="E596" s="8" t="n">
        <v>0</v>
      </c>
      <c r="F596" s="8" t="n">
        <f aca="false">D596+E596</f>
        <v>1</v>
      </c>
      <c r="G596" s="23" t="n">
        <f aca="false">IF(F596=0,"n/a",D596/F596)</f>
        <v>1</v>
      </c>
    </row>
    <row r="597" customFormat="false" ht="15" hidden="false" customHeight="true" outlineLevel="0" collapsed="false">
      <c r="A597" s="7" t="s">
        <v>68</v>
      </c>
      <c r="B597" s="7" t="s">
        <v>847</v>
      </c>
      <c r="C597" s="7" t="s">
        <v>131</v>
      </c>
      <c r="D597" s="8" t="n">
        <v>1</v>
      </c>
      <c r="E597" s="8" t="n">
        <v>0</v>
      </c>
      <c r="F597" s="8" t="n">
        <f aca="false">D597+E597</f>
        <v>1</v>
      </c>
      <c r="G597" s="23" t="n">
        <f aca="false">IF(F597=0,"n/a",D597/F597)</f>
        <v>1</v>
      </c>
    </row>
    <row r="598" customFormat="false" ht="15" hidden="false" customHeight="true" outlineLevel="0" collapsed="false">
      <c r="A598" s="7" t="s">
        <v>68</v>
      </c>
      <c r="B598" s="7" t="s">
        <v>848</v>
      </c>
      <c r="C598" s="7" t="s">
        <v>131</v>
      </c>
      <c r="D598" s="8" t="n">
        <v>1</v>
      </c>
      <c r="E598" s="8" t="n">
        <v>0</v>
      </c>
      <c r="F598" s="8" t="n">
        <f aca="false">D598+E598</f>
        <v>1</v>
      </c>
      <c r="G598" s="23" t="n">
        <f aca="false">IF(F598=0,"n/a",D598/F598)</f>
        <v>1</v>
      </c>
    </row>
    <row r="599" customFormat="false" ht="15" hidden="false" customHeight="true" outlineLevel="0" collapsed="false">
      <c r="A599" s="7" t="s">
        <v>68</v>
      </c>
      <c r="B599" s="7" t="s">
        <v>849</v>
      </c>
      <c r="C599" s="7" t="s">
        <v>131</v>
      </c>
      <c r="D599" s="8" t="n">
        <v>1</v>
      </c>
      <c r="E599" s="8" t="n">
        <v>0</v>
      </c>
      <c r="F599" s="8" t="n">
        <f aca="false">D599+E599</f>
        <v>1</v>
      </c>
      <c r="G599" s="23" t="n">
        <f aca="false">IF(F599=0,"n/a",D599/F599)</f>
        <v>1</v>
      </c>
    </row>
    <row r="600" customFormat="false" ht="15" hidden="false" customHeight="true" outlineLevel="0" collapsed="false">
      <c r="A600" s="7" t="s">
        <v>68</v>
      </c>
      <c r="B600" s="7" t="s">
        <v>479</v>
      </c>
      <c r="C600" s="7" t="s">
        <v>131</v>
      </c>
      <c r="D600" s="8" t="n">
        <v>1</v>
      </c>
      <c r="E600" s="8" t="n">
        <v>0</v>
      </c>
      <c r="F600" s="8" t="n">
        <f aca="false">D600+E600</f>
        <v>1</v>
      </c>
      <c r="G600" s="23" t="n">
        <f aca="false">IF(F600=0,"n/a",D600/F600)</f>
        <v>1</v>
      </c>
    </row>
    <row r="601" customFormat="false" ht="15" hidden="false" customHeight="true" outlineLevel="0" collapsed="false">
      <c r="A601" s="7" t="s">
        <v>68</v>
      </c>
      <c r="B601" s="7" t="s">
        <v>850</v>
      </c>
      <c r="C601" s="7" t="s">
        <v>131</v>
      </c>
      <c r="D601" s="8" t="n">
        <v>1</v>
      </c>
      <c r="E601" s="8" t="n">
        <v>0</v>
      </c>
      <c r="F601" s="8" t="n">
        <f aca="false">D601+E601</f>
        <v>1</v>
      </c>
      <c r="G601" s="23" t="n">
        <f aca="false">IF(F601=0,"n/a",D601/F601)</f>
        <v>1</v>
      </c>
    </row>
    <row r="602" customFormat="false" ht="15" hidden="false" customHeight="true" outlineLevel="0" collapsed="false">
      <c r="A602" s="7" t="s">
        <v>68</v>
      </c>
      <c r="B602" s="7" t="s">
        <v>851</v>
      </c>
      <c r="C602" s="7" t="s">
        <v>131</v>
      </c>
      <c r="D602" s="8" t="n">
        <v>0</v>
      </c>
      <c r="E602" s="8" t="n">
        <v>1</v>
      </c>
      <c r="F602" s="8" t="n">
        <f aca="false">D602+E602</f>
        <v>1</v>
      </c>
      <c r="G602" s="23" t="n">
        <f aca="false">IF(F602=0,"n/a",D602/F602)</f>
        <v>0</v>
      </c>
    </row>
    <row r="603" customFormat="false" ht="15" hidden="false" customHeight="true" outlineLevel="0" collapsed="false">
      <c r="A603" s="7" t="s">
        <v>68</v>
      </c>
      <c r="B603" s="7" t="s">
        <v>852</v>
      </c>
      <c r="C603" s="7" t="s">
        <v>131</v>
      </c>
      <c r="D603" s="8" t="n">
        <v>1</v>
      </c>
      <c r="E603" s="8" t="n">
        <v>0</v>
      </c>
      <c r="F603" s="8" t="n">
        <f aca="false">D603+E603</f>
        <v>1</v>
      </c>
      <c r="G603" s="23" t="n">
        <f aca="false">IF(F603=0,"n/a",D603/F603)</f>
        <v>1</v>
      </c>
    </row>
    <row r="604" customFormat="false" ht="15" hidden="false" customHeight="true" outlineLevel="0" collapsed="false">
      <c r="A604" s="7" t="s">
        <v>68</v>
      </c>
      <c r="B604" s="7" t="s">
        <v>853</v>
      </c>
      <c r="C604" s="7" t="s">
        <v>131</v>
      </c>
      <c r="D604" s="8" t="n">
        <v>0</v>
      </c>
      <c r="E604" s="8" t="n">
        <v>1</v>
      </c>
      <c r="F604" s="8" t="n">
        <f aca="false">D604+E604</f>
        <v>1</v>
      </c>
      <c r="G604" s="23" t="n">
        <f aca="false">IF(F604=0,"n/a",D604/F604)</f>
        <v>0</v>
      </c>
    </row>
    <row r="605" customFormat="false" ht="15" hidden="false" customHeight="true" outlineLevel="0" collapsed="false">
      <c r="A605" s="7" t="s">
        <v>68</v>
      </c>
      <c r="B605" s="7" t="s">
        <v>854</v>
      </c>
      <c r="C605" s="7" t="s">
        <v>131</v>
      </c>
      <c r="D605" s="8" t="n">
        <v>0</v>
      </c>
      <c r="E605" s="8" t="n">
        <v>1</v>
      </c>
      <c r="F605" s="8" t="n">
        <f aca="false">D605+E605</f>
        <v>1</v>
      </c>
      <c r="G605" s="23" t="n">
        <f aca="false">IF(F605=0,"n/a",D605/F605)</f>
        <v>0</v>
      </c>
    </row>
    <row r="606" customFormat="false" ht="15" hidden="false" customHeight="true" outlineLevel="0" collapsed="false">
      <c r="A606" s="7" t="s">
        <v>68</v>
      </c>
      <c r="B606" s="7" t="s">
        <v>855</v>
      </c>
      <c r="C606" s="7" t="s">
        <v>131</v>
      </c>
      <c r="D606" s="8" t="n">
        <v>1</v>
      </c>
      <c r="E606" s="8" t="n">
        <v>0</v>
      </c>
      <c r="F606" s="8" t="n">
        <f aca="false">D606+E606</f>
        <v>1</v>
      </c>
      <c r="G606" s="23" t="n">
        <f aca="false">IF(F606=0,"n/a",D606/F606)</f>
        <v>1</v>
      </c>
    </row>
    <row r="607" customFormat="false" ht="15" hidden="false" customHeight="true" outlineLevel="0" collapsed="false">
      <c r="A607" s="7" t="s">
        <v>68</v>
      </c>
      <c r="B607" s="7" t="s">
        <v>856</v>
      </c>
      <c r="C607" s="7" t="s">
        <v>131</v>
      </c>
      <c r="D607" s="8" t="n">
        <v>1</v>
      </c>
      <c r="E607" s="8" t="n">
        <v>0</v>
      </c>
      <c r="F607" s="8" t="n">
        <f aca="false">D607+E607</f>
        <v>1</v>
      </c>
      <c r="G607" s="23" t="n">
        <f aca="false">IF(F607=0,"n/a",D607/F607)</f>
        <v>1</v>
      </c>
    </row>
    <row r="608" customFormat="false" ht="15" hidden="false" customHeight="true" outlineLevel="0" collapsed="false">
      <c r="A608" s="7" t="s">
        <v>68</v>
      </c>
      <c r="B608" s="7" t="s">
        <v>857</v>
      </c>
      <c r="C608" s="7" t="s">
        <v>131</v>
      </c>
      <c r="D608" s="8" t="n">
        <v>1</v>
      </c>
      <c r="E608" s="8" t="n">
        <v>0</v>
      </c>
      <c r="F608" s="8" t="n">
        <f aca="false">D608+E608</f>
        <v>1</v>
      </c>
      <c r="G608" s="23" t="n">
        <f aca="false">IF(F608=0,"n/a",D608/F608)</f>
        <v>1</v>
      </c>
    </row>
    <row r="609" customFormat="false" ht="15" hidden="false" customHeight="true" outlineLevel="0" collapsed="false">
      <c r="A609" s="7" t="s">
        <v>68</v>
      </c>
      <c r="B609" s="7" t="s">
        <v>858</v>
      </c>
      <c r="C609" s="7" t="s">
        <v>131</v>
      </c>
      <c r="D609" s="8" t="n">
        <v>1</v>
      </c>
      <c r="E609" s="8" t="n">
        <v>0</v>
      </c>
      <c r="F609" s="8" t="n">
        <f aca="false">D609+E609</f>
        <v>1</v>
      </c>
      <c r="G609" s="23" t="n">
        <f aca="false">IF(F609=0,"n/a",D609/F609)</f>
        <v>1</v>
      </c>
    </row>
    <row r="610" customFormat="false" ht="15" hidden="false" customHeight="true" outlineLevel="0" collapsed="false">
      <c r="A610" s="7" t="s">
        <v>68</v>
      </c>
      <c r="B610" s="7" t="s">
        <v>859</v>
      </c>
      <c r="C610" s="7" t="s">
        <v>131</v>
      </c>
      <c r="D610" s="8" t="n">
        <v>1</v>
      </c>
      <c r="E610" s="8" t="n">
        <v>0</v>
      </c>
      <c r="F610" s="8" t="n">
        <f aca="false">D610+E610</f>
        <v>1</v>
      </c>
      <c r="G610" s="23" t="n">
        <f aca="false">IF(F610=0,"n/a",D610/F610)</f>
        <v>1</v>
      </c>
    </row>
    <row r="611" customFormat="false" ht="15" hidden="false" customHeight="true" outlineLevel="0" collapsed="false">
      <c r="A611" s="7" t="s">
        <v>68</v>
      </c>
      <c r="B611" s="7" t="s">
        <v>860</v>
      </c>
      <c r="C611" s="7" t="s">
        <v>131</v>
      </c>
      <c r="D611" s="8" t="n">
        <v>0</v>
      </c>
      <c r="E611" s="8" t="n">
        <v>1</v>
      </c>
      <c r="F611" s="8" t="n">
        <f aca="false">D611+E611</f>
        <v>1</v>
      </c>
      <c r="G611" s="23" t="n">
        <f aca="false">IF(F611=0,"n/a",D611/F611)</f>
        <v>0</v>
      </c>
    </row>
    <row r="612" customFormat="false" ht="15" hidden="false" customHeight="true" outlineLevel="0" collapsed="false">
      <c r="A612" s="7" t="s">
        <v>68</v>
      </c>
      <c r="B612" s="7" t="s">
        <v>861</v>
      </c>
      <c r="C612" s="7" t="s">
        <v>131</v>
      </c>
      <c r="D612" s="8" t="n">
        <v>1</v>
      </c>
      <c r="E612" s="8" t="n">
        <v>0</v>
      </c>
      <c r="F612" s="8" t="n">
        <f aca="false">D612+E612</f>
        <v>1</v>
      </c>
      <c r="G612" s="23" t="n">
        <f aca="false">IF(F612=0,"n/a",D612/F612)</f>
        <v>1</v>
      </c>
    </row>
    <row r="613" customFormat="false" ht="15" hidden="false" customHeight="true" outlineLevel="0" collapsed="false">
      <c r="A613" s="7" t="s">
        <v>68</v>
      </c>
      <c r="B613" s="7" t="s">
        <v>862</v>
      </c>
      <c r="C613" s="7" t="s">
        <v>131</v>
      </c>
      <c r="D613" s="8" t="n">
        <v>0</v>
      </c>
      <c r="E613" s="8" t="n">
        <v>1</v>
      </c>
      <c r="F613" s="8" t="n">
        <f aca="false">D613+E613</f>
        <v>1</v>
      </c>
      <c r="G613" s="23" t="n">
        <f aca="false">IF(F613=0,"n/a",D613/F613)</f>
        <v>0</v>
      </c>
    </row>
    <row r="614" customFormat="false" ht="15" hidden="false" customHeight="true" outlineLevel="0" collapsed="false">
      <c r="A614" s="7" t="s">
        <v>68</v>
      </c>
      <c r="B614" s="7" t="s">
        <v>863</v>
      </c>
      <c r="C614" s="7" t="s">
        <v>131</v>
      </c>
      <c r="D614" s="8" t="n">
        <v>1</v>
      </c>
      <c r="E614" s="8" t="n">
        <v>0</v>
      </c>
      <c r="F614" s="8" t="n">
        <f aca="false">D614+E614</f>
        <v>1</v>
      </c>
      <c r="G614" s="23" t="n">
        <f aca="false">IF(F614=0,"n/a",D614/F614)</f>
        <v>1</v>
      </c>
    </row>
    <row r="615" customFormat="false" ht="15" hidden="false" customHeight="true" outlineLevel="0" collapsed="false">
      <c r="A615" s="7" t="s">
        <v>68</v>
      </c>
      <c r="B615" s="7" t="s">
        <v>748</v>
      </c>
      <c r="C615" s="7" t="s">
        <v>131</v>
      </c>
      <c r="D615" s="8" t="n">
        <v>0</v>
      </c>
      <c r="E615" s="8" t="n">
        <v>1</v>
      </c>
      <c r="F615" s="8" t="n">
        <f aca="false">D615+E615</f>
        <v>1</v>
      </c>
      <c r="G615" s="23" t="n">
        <f aca="false">IF(F615=0,"n/a",D615/F615)</f>
        <v>0</v>
      </c>
    </row>
    <row r="616" customFormat="false" ht="15" hidden="false" customHeight="true" outlineLevel="0" collapsed="false">
      <c r="A616" s="7" t="s">
        <v>68</v>
      </c>
      <c r="B616" s="7" t="s">
        <v>864</v>
      </c>
      <c r="C616" s="7" t="s">
        <v>131</v>
      </c>
      <c r="D616" s="8" t="n">
        <v>0</v>
      </c>
      <c r="E616" s="8" t="n">
        <v>1</v>
      </c>
      <c r="F616" s="8" t="n">
        <f aca="false">D616+E616</f>
        <v>1</v>
      </c>
      <c r="G616" s="23" t="n">
        <f aca="false">IF(F616=0,"n/a",D616/F616)</f>
        <v>0</v>
      </c>
    </row>
    <row r="617" customFormat="false" ht="15" hidden="false" customHeight="true" outlineLevel="0" collapsed="false">
      <c r="A617" s="7" t="s">
        <v>68</v>
      </c>
      <c r="B617" s="7" t="s">
        <v>865</v>
      </c>
      <c r="C617" s="7" t="s">
        <v>131</v>
      </c>
      <c r="D617" s="8" t="n">
        <v>0</v>
      </c>
      <c r="E617" s="8" t="n">
        <v>1</v>
      </c>
      <c r="F617" s="8" t="n">
        <f aca="false">D617+E617</f>
        <v>1</v>
      </c>
      <c r="G617" s="23" t="n">
        <f aca="false">IF(F617=0,"n/a",D617/F617)</f>
        <v>0</v>
      </c>
    </row>
    <row r="618" customFormat="false" ht="15" hidden="false" customHeight="true" outlineLevel="0" collapsed="false">
      <c r="A618" s="7" t="s">
        <v>68</v>
      </c>
      <c r="B618" s="7" t="s">
        <v>670</v>
      </c>
      <c r="C618" s="7" t="s">
        <v>131</v>
      </c>
      <c r="D618" s="8" t="n">
        <v>0</v>
      </c>
      <c r="E618" s="8" t="n">
        <v>1</v>
      </c>
      <c r="F618" s="8" t="n">
        <f aca="false">D618+E618</f>
        <v>1</v>
      </c>
      <c r="G618" s="23" t="n">
        <f aca="false">IF(F618=0,"n/a",D618/F618)</f>
        <v>0</v>
      </c>
    </row>
    <row r="619" customFormat="false" ht="15" hidden="false" customHeight="true" outlineLevel="0" collapsed="false">
      <c r="A619" s="7" t="s">
        <v>68</v>
      </c>
      <c r="B619" s="7" t="s">
        <v>866</v>
      </c>
      <c r="C619" s="7" t="s">
        <v>131</v>
      </c>
      <c r="D619" s="8" t="n">
        <v>1</v>
      </c>
      <c r="E619" s="8" t="n">
        <v>0</v>
      </c>
      <c r="F619" s="8" t="n">
        <f aca="false">D619+E619</f>
        <v>1</v>
      </c>
      <c r="G619" s="23" t="n">
        <f aca="false">IF(F619=0,"n/a",D619/F619)</f>
        <v>1</v>
      </c>
    </row>
    <row r="620" customFormat="false" ht="15" hidden="false" customHeight="true" outlineLevel="0" collapsed="false">
      <c r="A620" s="7" t="s">
        <v>68</v>
      </c>
      <c r="B620" s="7" t="s">
        <v>867</v>
      </c>
      <c r="C620" s="7" t="s">
        <v>131</v>
      </c>
      <c r="D620" s="8" t="n">
        <v>0</v>
      </c>
      <c r="E620" s="8" t="n">
        <v>1</v>
      </c>
      <c r="F620" s="8" t="n">
        <f aca="false">D620+E620</f>
        <v>1</v>
      </c>
      <c r="G620" s="23" t="n">
        <f aca="false">IF(F620=0,"n/a",D620/F620)</f>
        <v>0</v>
      </c>
    </row>
    <row r="621" customFormat="false" ht="15" hidden="false" customHeight="true" outlineLevel="0" collapsed="false">
      <c r="A621" s="7" t="s">
        <v>68</v>
      </c>
      <c r="B621" s="7" t="s">
        <v>868</v>
      </c>
      <c r="C621" s="7" t="s">
        <v>131</v>
      </c>
      <c r="D621" s="8" t="n">
        <v>0</v>
      </c>
      <c r="E621" s="8" t="n">
        <v>1</v>
      </c>
      <c r="F621" s="8" t="n">
        <f aca="false">D621+E621</f>
        <v>1</v>
      </c>
      <c r="G621" s="23" t="n">
        <f aca="false">IF(F621=0,"n/a",D621/F621)</f>
        <v>0</v>
      </c>
    </row>
    <row r="622" customFormat="false" ht="15" hidden="false" customHeight="true" outlineLevel="0" collapsed="false">
      <c r="A622" s="7" t="s">
        <v>132</v>
      </c>
      <c r="B622" s="7" t="s">
        <v>869</v>
      </c>
      <c r="C622" s="7" t="s">
        <v>133</v>
      </c>
      <c r="D622" s="8" t="n">
        <v>7</v>
      </c>
      <c r="E622" s="8" t="n">
        <v>14</v>
      </c>
      <c r="F622" s="8" t="n">
        <f aca="false">D622+E622</f>
        <v>21</v>
      </c>
      <c r="G622" s="23" t="n">
        <f aca="false">IF(F622=0,"n/a",D622/F622)</f>
        <v>0.333333333333333</v>
      </c>
    </row>
    <row r="623" customFormat="false" ht="15" hidden="false" customHeight="true" outlineLevel="0" collapsed="false">
      <c r="A623" s="7" t="s">
        <v>132</v>
      </c>
      <c r="B623" s="7" t="s">
        <v>870</v>
      </c>
      <c r="C623" s="7" t="s">
        <v>133</v>
      </c>
      <c r="D623" s="8" t="n">
        <v>5</v>
      </c>
      <c r="E623" s="8" t="n">
        <v>7</v>
      </c>
      <c r="F623" s="8" t="n">
        <f aca="false">D623+E623</f>
        <v>12</v>
      </c>
      <c r="G623" s="23" t="n">
        <f aca="false">IF(F623=0,"n/a",D623/F623)</f>
        <v>0.416666666666667</v>
      </c>
    </row>
    <row r="624" customFormat="false" ht="15" hidden="false" customHeight="true" outlineLevel="0" collapsed="false">
      <c r="A624" s="7" t="s">
        <v>132</v>
      </c>
      <c r="B624" s="7" t="s">
        <v>635</v>
      </c>
      <c r="C624" s="7" t="s">
        <v>133</v>
      </c>
      <c r="D624" s="8" t="n">
        <v>0</v>
      </c>
      <c r="E624" s="8" t="n">
        <v>11</v>
      </c>
      <c r="F624" s="8" t="n">
        <f aca="false">D624+E624</f>
        <v>11</v>
      </c>
      <c r="G624" s="23" t="n">
        <f aca="false">IF(F624=0,"n/a",D624/F624)</f>
        <v>0</v>
      </c>
    </row>
    <row r="625" customFormat="false" ht="15" hidden="false" customHeight="true" outlineLevel="0" collapsed="false">
      <c r="A625" s="7" t="s">
        <v>132</v>
      </c>
      <c r="B625" s="7" t="s">
        <v>871</v>
      </c>
      <c r="C625" s="7" t="s">
        <v>133</v>
      </c>
      <c r="D625" s="8" t="n">
        <v>0</v>
      </c>
      <c r="E625" s="8" t="n">
        <v>8</v>
      </c>
      <c r="F625" s="8" t="n">
        <f aca="false">D625+E625</f>
        <v>8</v>
      </c>
      <c r="G625" s="23" t="n">
        <f aca="false">IF(F625=0,"n/a",D625/F625)</f>
        <v>0</v>
      </c>
    </row>
    <row r="626" customFormat="false" ht="15" hidden="false" customHeight="true" outlineLevel="0" collapsed="false">
      <c r="A626" s="7" t="s">
        <v>132</v>
      </c>
      <c r="B626" s="7" t="s">
        <v>749</v>
      </c>
      <c r="C626" s="7" t="s">
        <v>133</v>
      </c>
      <c r="D626" s="8" t="n">
        <v>0</v>
      </c>
      <c r="E626" s="8" t="n">
        <v>3</v>
      </c>
      <c r="F626" s="8" t="n">
        <f aca="false">D626+E626</f>
        <v>3</v>
      </c>
      <c r="G626" s="23" t="n">
        <f aca="false">IF(F626=0,"n/a",D626/F626)</f>
        <v>0</v>
      </c>
    </row>
    <row r="627" customFormat="false" ht="15" hidden="false" customHeight="true" outlineLevel="0" collapsed="false">
      <c r="A627" s="7" t="s">
        <v>132</v>
      </c>
      <c r="B627" s="7" t="s">
        <v>872</v>
      </c>
      <c r="C627" s="7" t="s">
        <v>133</v>
      </c>
      <c r="D627" s="8" t="n">
        <v>0</v>
      </c>
      <c r="E627" s="8" t="n">
        <v>3</v>
      </c>
      <c r="F627" s="8" t="n">
        <f aca="false">D627+E627</f>
        <v>3</v>
      </c>
      <c r="G627" s="23" t="n">
        <f aca="false">IF(F627=0,"n/a",D627/F627)</f>
        <v>0</v>
      </c>
    </row>
    <row r="628" customFormat="false" ht="15" hidden="false" customHeight="true" outlineLevel="0" collapsed="false">
      <c r="A628" s="7" t="s">
        <v>132</v>
      </c>
      <c r="B628" s="7" t="s">
        <v>818</v>
      </c>
      <c r="C628" s="7" t="s">
        <v>133</v>
      </c>
      <c r="D628" s="8" t="n">
        <v>0</v>
      </c>
      <c r="E628" s="8" t="n">
        <v>3</v>
      </c>
      <c r="F628" s="8" t="n">
        <f aca="false">D628+E628</f>
        <v>3</v>
      </c>
      <c r="G628" s="23" t="n">
        <f aca="false">IF(F628=0,"n/a",D628/F628)</f>
        <v>0</v>
      </c>
    </row>
    <row r="629" customFormat="false" ht="15" hidden="false" customHeight="true" outlineLevel="0" collapsed="false">
      <c r="A629" s="7" t="s">
        <v>132</v>
      </c>
      <c r="B629" s="7" t="s">
        <v>770</v>
      </c>
      <c r="C629" s="7" t="s">
        <v>133</v>
      </c>
      <c r="D629" s="8" t="n">
        <v>2</v>
      </c>
      <c r="E629" s="8" t="n">
        <v>0</v>
      </c>
      <c r="F629" s="8" t="n">
        <f aca="false">D629+E629</f>
        <v>2</v>
      </c>
      <c r="G629" s="23" t="n">
        <f aca="false">IF(F629=0,"n/a",D629/F629)</f>
        <v>1</v>
      </c>
    </row>
    <row r="630" customFormat="false" ht="15" hidden="false" customHeight="true" outlineLevel="0" collapsed="false">
      <c r="A630" s="7" t="s">
        <v>132</v>
      </c>
      <c r="B630" s="7" t="s">
        <v>873</v>
      </c>
      <c r="C630" s="7" t="s">
        <v>133</v>
      </c>
      <c r="D630" s="8" t="n">
        <v>2</v>
      </c>
      <c r="E630" s="8" t="n">
        <v>0</v>
      </c>
      <c r="F630" s="8" t="n">
        <f aca="false">D630+E630</f>
        <v>2</v>
      </c>
      <c r="G630" s="23" t="n">
        <f aca="false">IF(F630=0,"n/a",D630/F630)</f>
        <v>1</v>
      </c>
    </row>
    <row r="631" customFormat="false" ht="15" hidden="false" customHeight="true" outlineLevel="0" collapsed="false">
      <c r="A631" s="7" t="s">
        <v>132</v>
      </c>
      <c r="B631" s="7" t="s">
        <v>874</v>
      </c>
      <c r="C631" s="7" t="s">
        <v>133</v>
      </c>
      <c r="D631" s="8" t="n">
        <v>0</v>
      </c>
      <c r="E631" s="8" t="n">
        <v>2</v>
      </c>
      <c r="F631" s="8" t="n">
        <f aca="false">D631+E631</f>
        <v>2</v>
      </c>
      <c r="G631" s="23" t="n">
        <f aca="false">IF(F631=0,"n/a",D631/F631)</f>
        <v>0</v>
      </c>
    </row>
    <row r="632" customFormat="false" ht="15" hidden="false" customHeight="true" outlineLevel="0" collapsed="false">
      <c r="A632" s="7" t="s">
        <v>132</v>
      </c>
      <c r="B632" s="7" t="s">
        <v>814</v>
      </c>
      <c r="C632" s="7" t="s">
        <v>133</v>
      </c>
      <c r="D632" s="8" t="n">
        <v>2</v>
      </c>
      <c r="E632" s="8" t="n">
        <v>0</v>
      </c>
      <c r="F632" s="8" t="n">
        <f aca="false">D632+E632</f>
        <v>2</v>
      </c>
      <c r="G632" s="23" t="n">
        <f aca="false">IF(F632=0,"n/a",D632/F632)</f>
        <v>1</v>
      </c>
    </row>
    <row r="633" customFormat="false" ht="15" hidden="false" customHeight="true" outlineLevel="0" collapsed="false">
      <c r="A633" s="7" t="s">
        <v>132</v>
      </c>
      <c r="B633" s="7" t="s">
        <v>812</v>
      </c>
      <c r="C633" s="7" t="s">
        <v>133</v>
      </c>
      <c r="D633" s="8" t="n">
        <v>2</v>
      </c>
      <c r="E633" s="8" t="n">
        <v>0</v>
      </c>
      <c r="F633" s="8" t="n">
        <f aca="false">D633+E633</f>
        <v>2</v>
      </c>
      <c r="G633" s="23" t="n">
        <f aca="false">IF(F633=0,"n/a",D633/F633)</f>
        <v>1</v>
      </c>
    </row>
    <row r="634" customFormat="false" ht="15" hidden="false" customHeight="true" outlineLevel="0" collapsed="false">
      <c r="A634" s="7" t="s">
        <v>132</v>
      </c>
      <c r="B634" s="7" t="s">
        <v>875</v>
      </c>
      <c r="C634" s="7" t="s">
        <v>133</v>
      </c>
      <c r="D634" s="8" t="n">
        <v>0</v>
      </c>
      <c r="E634" s="8" t="n">
        <v>2</v>
      </c>
      <c r="F634" s="8" t="n">
        <f aca="false">D634+E634</f>
        <v>2</v>
      </c>
      <c r="G634" s="23" t="n">
        <f aca="false">IF(F634=0,"n/a",D634/F634)</f>
        <v>0</v>
      </c>
    </row>
    <row r="635" customFormat="false" ht="15" hidden="false" customHeight="true" outlineLevel="0" collapsed="false">
      <c r="A635" s="7" t="s">
        <v>132</v>
      </c>
      <c r="B635" s="7" t="s">
        <v>876</v>
      </c>
      <c r="C635" s="7" t="s">
        <v>133</v>
      </c>
      <c r="D635" s="8" t="n">
        <v>0</v>
      </c>
      <c r="E635" s="8" t="n">
        <v>1</v>
      </c>
      <c r="F635" s="8" t="n">
        <f aca="false">D635+E635</f>
        <v>1</v>
      </c>
      <c r="G635" s="23" t="n">
        <f aca="false">IF(F635=0,"n/a",D635/F635)</f>
        <v>0</v>
      </c>
    </row>
    <row r="636" customFormat="false" ht="15" hidden="false" customHeight="true" outlineLevel="0" collapsed="false">
      <c r="A636" s="7" t="s">
        <v>132</v>
      </c>
      <c r="B636" s="7" t="s">
        <v>877</v>
      </c>
      <c r="C636" s="7" t="s">
        <v>133</v>
      </c>
      <c r="D636" s="8" t="n">
        <v>1</v>
      </c>
      <c r="E636" s="8" t="n">
        <v>0</v>
      </c>
      <c r="F636" s="8" t="n">
        <f aca="false">D636+E636</f>
        <v>1</v>
      </c>
      <c r="G636" s="23" t="n">
        <f aca="false">IF(F636=0,"n/a",D636/F636)</f>
        <v>1</v>
      </c>
    </row>
    <row r="637" customFormat="false" ht="15" hidden="false" customHeight="true" outlineLevel="0" collapsed="false">
      <c r="A637" s="7" t="s">
        <v>132</v>
      </c>
      <c r="B637" s="7" t="s">
        <v>878</v>
      </c>
      <c r="C637" s="7" t="s">
        <v>133</v>
      </c>
      <c r="D637" s="8" t="n">
        <v>0</v>
      </c>
      <c r="E637" s="8" t="n">
        <v>1</v>
      </c>
      <c r="F637" s="8" t="n">
        <f aca="false">D637+E637</f>
        <v>1</v>
      </c>
      <c r="G637" s="23" t="n">
        <f aca="false">IF(F637=0,"n/a",D637/F637)</f>
        <v>0</v>
      </c>
    </row>
    <row r="638" customFormat="false" ht="15" hidden="false" customHeight="true" outlineLevel="0" collapsed="false">
      <c r="A638" s="7" t="s">
        <v>132</v>
      </c>
      <c r="B638" s="7" t="s">
        <v>879</v>
      </c>
      <c r="C638" s="7" t="s">
        <v>133</v>
      </c>
      <c r="D638" s="8" t="n">
        <v>0</v>
      </c>
      <c r="E638" s="8" t="n">
        <v>1</v>
      </c>
      <c r="F638" s="8" t="n">
        <f aca="false">D638+E638</f>
        <v>1</v>
      </c>
      <c r="G638" s="23" t="n">
        <f aca="false">IF(F638=0,"n/a",D638/F638)</f>
        <v>0</v>
      </c>
    </row>
    <row r="639" customFormat="false" ht="15" hidden="false" customHeight="true" outlineLevel="0" collapsed="false">
      <c r="A639" s="7" t="s">
        <v>132</v>
      </c>
      <c r="B639" s="7" t="s">
        <v>880</v>
      </c>
      <c r="C639" s="7" t="s">
        <v>133</v>
      </c>
      <c r="D639" s="8" t="n">
        <v>0</v>
      </c>
      <c r="E639" s="8" t="n">
        <v>1</v>
      </c>
      <c r="F639" s="8" t="n">
        <f aca="false">D639+E639</f>
        <v>1</v>
      </c>
      <c r="G639" s="23" t="n">
        <f aca="false">IF(F639=0,"n/a",D639/F639)</f>
        <v>0</v>
      </c>
    </row>
    <row r="640" customFormat="false" ht="15" hidden="false" customHeight="true" outlineLevel="0" collapsed="false">
      <c r="A640" s="7" t="s">
        <v>132</v>
      </c>
      <c r="B640" s="7" t="s">
        <v>881</v>
      </c>
      <c r="C640" s="7" t="s">
        <v>133</v>
      </c>
      <c r="D640" s="8" t="n">
        <v>1</v>
      </c>
      <c r="E640" s="8" t="n">
        <v>0</v>
      </c>
      <c r="F640" s="8" t="n">
        <f aca="false">D640+E640</f>
        <v>1</v>
      </c>
      <c r="G640" s="23" t="n">
        <f aca="false">IF(F640=0,"n/a",D640/F640)</f>
        <v>1</v>
      </c>
    </row>
    <row r="641" customFormat="false" ht="15" hidden="false" customHeight="true" outlineLevel="0" collapsed="false">
      <c r="A641" s="7" t="s">
        <v>132</v>
      </c>
      <c r="B641" s="7" t="s">
        <v>882</v>
      </c>
      <c r="C641" s="7" t="s">
        <v>133</v>
      </c>
      <c r="D641" s="8" t="n">
        <v>1</v>
      </c>
      <c r="E641" s="8" t="n">
        <v>0</v>
      </c>
      <c r="F641" s="8" t="n">
        <f aca="false">D641+E641</f>
        <v>1</v>
      </c>
      <c r="G641" s="23" t="n">
        <f aca="false">IF(F641=0,"n/a",D641/F641)</f>
        <v>1</v>
      </c>
    </row>
    <row r="642" customFormat="false" ht="15" hidden="false" customHeight="true" outlineLevel="0" collapsed="false">
      <c r="A642" s="7" t="s">
        <v>132</v>
      </c>
      <c r="B642" s="7" t="s">
        <v>883</v>
      </c>
      <c r="C642" s="7" t="s">
        <v>133</v>
      </c>
      <c r="D642" s="8" t="n">
        <v>1</v>
      </c>
      <c r="E642" s="8" t="n">
        <v>0</v>
      </c>
      <c r="F642" s="8" t="n">
        <f aca="false">D642+E642</f>
        <v>1</v>
      </c>
      <c r="G642" s="23" t="n">
        <f aca="false">IF(F642=0,"n/a",D642/F642)</f>
        <v>1</v>
      </c>
    </row>
    <row r="643" customFormat="false" ht="15" hidden="false" customHeight="true" outlineLevel="0" collapsed="false">
      <c r="A643" s="7" t="s">
        <v>132</v>
      </c>
      <c r="B643" s="7" t="s">
        <v>863</v>
      </c>
      <c r="C643" s="7" t="s">
        <v>133</v>
      </c>
      <c r="D643" s="8" t="n">
        <v>0</v>
      </c>
      <c r="E643" s="8" t="n">
        <v>1</v>
      </c>
      <c r="F643" s="8" t="n">
        <f aca="false">D643+E643</f>
        <v>1</v>
      </c>
      <c r="G643" s="23" t="n">
        <f aca="false">IF(F643=0,"n/a",D643/F643)</f>
        <v>0</v>
      </c>
    </row>
    <row r="644" customFormat="false" ht="15" hidden="false" customHeight="true" outlineLevel="0" collapsed="false">
      <c r="A644" s="7" t="s">
        <v>132</v>
      </c>
      <c r="B644" s="7" t="s">
        <v>884</v>
      </c>
      <c r="C644" s="7" t="s">
        <v>133</v>
      </c>
      <c r="D644" s="8" t="n">
        <v>1</v>
      </c>
      <c r="E644" s="8" t="n">
        <v>0</v>
      </c>
      <c r="F644" s="8" t="n">
        <f aca="false">D644+E644</f>
        <v>1</v>
      </c>
      <c r="G644" s="23" t="n">
        <f aca="false">IF(F644=0,"n/a",D644/F644)</f>
        <v>1</v>
      </c>
    </row>
    <row r="645" customFormat="false" ht="15" hidden="false" customHeight="true" outlineLevel="0" collapsed="false">
      <c r="A645" s="7" t="s">
        <v>132</v>
      </c>
      <c r="B645" s="7" t="s">
        <v>885</v>
      </c>
      <c r="C645" s="7" t="s">
        <v>133</v>
      </c>
      <c r="D645" s="8" t="n">
        <v>1</v>
      </c>
      <c r="E645" s="8" t="n">
        <v>0</v>
      </c>
      <c r="F645" s="8" t="n">
        <f aca="false">D645+E645</f>
        <v>1</v>
      </c>
      <c r="G645" s="23" t="n">
        <f aca="false">IF(F645=0,"n/a",D645/F645)</f>
        <v>1</v>
      </c>
    </row>
    <row r="646" customFormat="false" ht="15" hidden="false" customHeight="true" outlineLevel="0" collapsed="false">
      <c r="A646" s="7" t="s">
        <v>132</v>
      </c>
      <c r="B646" s="7" t="s">
        <v>886</v>
      </c>
      <c r="C646" s="7" t="s">
        <v>133</v>
      </c>
      <c r="D646" s="8" t="n">
        <v>1</v>
      </c>
      <c r="E646" s="8" t="n">
        <v>0</v>
      </c>
      <c r="F646" s="8" t="n">
        <f aca="false">D646+E646</f>
        <v>1</v>
      </c>
      <c r="G646" s="23" t="n">
        <f aca="false">IF(F646=0,"n/a",D646/F646)</f>
        <v>1</v>
      </c>
    </row>
    <row r="647" customFormat="false" ht="15" hidden="false" customHeight="true" outlineLevel="0" collapsed="false">
      <c r="A647" s="7" t="s">
        <v>132</v>
      </c>
      <c r="B647" s="7" t="s">
        <v>887</v>
      </c>
      <c r="C647" s="7" t="s">
        <v>133</v>
      </c>
      <c r="D647" s="8" t="n">
        <v>1</v>
      </c>
      <c r="E647" s="8" t="n">
        <v>0</v>
      </c>
      <c r="F647" s="8" t="n">
        <f aca="false">D647+E647</f>
        <v>1</v>
      </c>
      <c r="G647" s="23" t="n">
        <f aca="false">IF(F647=0,"n/a",D647/F647)</f>
        <v>1</v>
      </c>
    </row>
    <row r="648" customFormat="false" ht="15" hidden="false" customHeight="true" outlineLevel="0" collapsed="false">
      <c r="A648" s="7" t="s">
        <v>132</v>
      </c>
      <c r="B648" s="7" t="s">
        <v>888</v>
      </c>
      <c r="C648" s="7" t="s">
        <v>133</v>
      </c>
      <c r="D648" s="8" t="n">
        <v>1</v>
      </c>
      <c r="E648" s="8" t="n">
        <v>0</v>
      </c>
      <c r="F648" s="8" t="n">
        <f aca="false">D648+E648</f>
        <v>1</v>
      </c>
      <c r="G648" s="23" t="n">
        <f aca="false">IF(F648=0,"n/a",D648/F648)</f>
        <v>1</v>
      </c>
    </row>
    <row r="649" customFormat="false" ht="15" hidden="false" customHeight="true" outlineLevel="0" collapsed="false">
      <c r="A649" s="7" t="s">
        <v>132</v>
      </c>
      <c r="B649" s="7" t="s">
        <v>889</v>
      </c>
      <c r="C649" s="7" t="s">
        <v>133</v>
      </c>
      <c r="D649" s="8" t="n">
        <v>1</v>
      </c>
      <c r="E649" s="8" t="n">
        <v>0</v>
      </c>
      <c r="F649" s="8" t="n">
        <f aca="false">D649+E649</f>
        <v>1</v>
      </c>
      <c r="G649" s="23" t="n">
        <f aca="false">IF(F649=0,"n/a",D649/F649)</f>
        <v>1</v>
      </c>
    </row>
    <row r="650" customFormat="false" ht="15" hidden="false" customHeight="true" outlineLevel="0" collapsed="false">
      <c r="A650" s="7" t="s">
        <v>132</v>
      </c>
      <c r="B650" s="7" t="s">
        <v>890</v>
      </c>
      <c r="C650" s="7" t="s">
        <v>133</v>
      </c>
      <c r="D650" s="8" t="n">
        <v>0</v>
      </c>
      <c r="E650" s="8" t="n">
        <v>1</v>
      </c>
      <c r="F650" s="8" t="n">
        <f aca="false">D650+E650</f>
        <v>1</v>
      </c>
      <c r="G650" s="23" t="n">
        <f aca="false">IF(F650=0,"n/a",D650/F650)</f>
        <v>0</v>
      </c>
    </row>
    <row r="651" customFormat="false" ht="15" hidden="false" customHeight="true" outlineLevel="0" collapsed="false">
      <c r="A651" s="7" t="s">
        <v>134</v>
      </c>
      <c r="B651" s="7" t="s">
        <v>891</v>
      </c>
      <c r="C651" s="7" t="s">
        <v>126</v>
      </c>
      <c r="D651" s="8" t="n">
        <v>9</v>
      </c>
      <c r="E651" s="8" t="n">
        <v>29</v>
      </c>
      <c r="F651" s="8" t="n">
        <f aca="false">D651+E651</f>
        <v>38</v>
      </c>
      <c r="G651" s="23" t="n">
        <f aca="false">IF(F651=0,"n/a",D651/F651)</f>
        <v>0.236842105263158</v>
      </c>
    </row>
    <row r="652" customFormat="false" ht="15" hidden="false" customHeight="true" outlineLevel="0" collapsed="false">
      <c r="A652" s="7" t="s">
        <v>134</v>
      </c>
      <c r="B652" s="7" t="s">
        <v>647</v>
      </c>
      <c r="C652" s="7" t="s">
        <v>126</v>
      </c>
      <c r="D652" s="8" t="n">
        <v>3</v>
      </c>
      <c r="E652" s="8" t="n">
        <v>6</v>
      </c>
      <c r="F652" s="8" t="n">
        <f aca="false">D652+E652</f>
        <v>9</v>
      </c>
      <c r="G652" s="23" t="n">
        <f aca="false">IF(F652=0,"n/a",D652/F652)</f>
        <v>0.333333333333333</v>
      </c>
    </row>
    <row r="653" customFormat="false" ht="15" hidden="false" customHeight="true" outlineLevel="0" collapsed="false">
      <c r="A653" s="7" t="s">
        <v>134</v>
      </c>
      <c r="B653" s="7" t="s">
        <v>715</v>
      </c>
      <c r="C653" s="7" t="s">
        <v>126</v>
      </c>
      <c r="D653" s="8" t="n">
        <v>4</v>
      </c>
      <c r="E653" s="8" t="n">
        <v>4</v>
      </c>
      <c r="F653" s="8" t="n">
        <f aca="false">D653+E653</f>
        <v>8</v>
      </c>
      <c r="G653" s="23" t="n">
        <f aca="false">IF(F653=0,"n/a",D653/F653)</f>
        <v>0.5</v>
      </c>
    </row>
    <row r="654" customFormat="false" ht="15" hidden="false" customHeight="true" outlineLevel="0" collapsed="false">
      <c r="A654" s="7" t="s">
        <v>134</v>
      </c>
      <c r="B654" s="7" t="s">
        <v>892</v>
      </c>
      <c r="C654" s="7" t="s">
        <v>126</v>
      </c>
      <c r="D654" s="8" t="n">
        <v>4</v>
      </c>
      <c r="E654" s="8" t="n">
        <v>0</v>
      </c>
      <c r="F654" s="8" t="n">
        <f aca="false">D654+E654</f>
        <v>4</v>
      </c>
      <c r="G654" s="23" t="n">
        <f aca="false">IF(F654=0,"n/a",D654/F654)</f>
        <v>1</v>
      </c>
    </row>
    <row r="655" customFormat="false" ht="15" hidden="false" customHeight="true" outlineLevel="0" collapsed="false">
      <c r="A655" s="7" t="s">
        <v>134</v>
      </c>
      <c r="B655" s="7" t="s">
        <v>893</v>
      </c>
      <c r="C655" s="7" t="s">
        <v>126</v>
      </c>
      <c r="D655" s="8" t="n">
        <v>2</v>
      </c>
      <c r="E655" s="8" t="n">
        <v>2</v>
      </c>
      <c r="F655" s="8" t="n">
        <f aca="false">D655+E655</f>
        <v>4</v>
      </c>
      <c r="G655" s="23" t="n">
        <f aca="false">IF(F655=0,"n/a",D655/F655)</f>
        <v>0.5</v>
      </c>
    </row>
    <row r="656" customFormat="false" ht="15" hidden="false" customHeight="true" outlineLevel="0" collapsed="false">
      <c r="A656" s="7" t="s">
        <v>134</v>
      </c>
      <c r="B656" s="7" t="s">
        <v>894</v>
      </c>
      <c r="C656" s="7" t="s">
        <v>126</v>
      </c>
      <c r="D656" s="8" t="n">
        <v>4</v>
      </c>
      <c r="E656" s="8" t="n">
        <v>0</v>
      </c>
      <c r="F656" s="8" t="n">
        <f aca="false">D656+E656</f>
        <v>4</v>
      </c>
      <c r="G656" s="23" t="n">
        <f aca="false">IF(F656=0,"n/a",D656/F656)</f>
        <v>1</v>
      </c>
    </row>
    <row r="657" customFormat="false" ht="15" hidden="false" customHeight="true" outlineLevel="0" collapsed="false">
      <c r="A657" s="7" t="s">
        <v>134</v>
      </c>
      <c r="B657" s="7" t="s">
        <v>895</v>
      </c>
      <c r="C657" s="7" t="s">
        <v>126</v>
      </c>
      <c r="D657" s="8" t="n">
        <v>0</v>
      </c>
      <c r="E657" s="8" t="n">
        <v>4</v>
      </c>
      <c r="F657" s="8" t="n">
        <f aca="false">D657+E657</f>
        <v>4</v>
      </c>
      <c r="G657" s="23" t="n">
        <f aca="false">IF(F657=0,"n/a",D657/F657)</f>
        <v>0</v>
      </c>
    </row>
    <row r="658" customFormat="false" ht="15" hidden="false" customHeight="true" outlineLevel="0" collapsed="false">
      <c r="A658" s="7" t="s">
        <v>134</v>
      </c>
      <c r="B658" s="7" t="s">
        <v>896</v>
      </c>
      <c r="C658" s="7" t="s">
        <v>126</v>
      </c>
      <c r="D658" s="8" t="n">
        <v>0</v>
      </c>
      <c r="E658" s="8" t="n">
        <v>3</v>
      </c>
      <c r="F658" s="8" t="n">
        <f aca="false">D658+E658</f>
        <v>3</v>
      </c>
      <c r="G658" s="23" t="n">
        <f aca="false">IF(F658=0,"n/a",D658/F658)</f>
        <v>0</v>
      </c>
    </row>
    <row r="659" customFormat="false" ht="15" hidden="false" customHeight="true" outlineLevel="0" collapsed="false">
      <c r="A659" s="7" t="s">
        <v>134</v>
      </c>
      <c r="B659" s="7" t="s">
        <v>897</v>
      </c>
      <c r="C659" s="7" t="s">
        <v>126</v>
      </c>
      <c r="D659" s="8" t="n">
        <v>3</v>
      </c>
      <c r="E659" s="8" t="n">
        <v>0</v>
      </c>
      <c r="F659" s="8" t="n">
        <f aca="false">D659+E659</f>
        <v>3</v>
      </c>
      <c r="G659" s="23" t="n">
        <f aca="false">IF(F659=0,"n/a",D659/F659)</f>
        <v>1</v>
      </c>
    </row>
    <row r="660" customFormat="false" ht="15" hidden="false" customHeight="true" outlineLevel="0" collapsed="false">
      <c r="A660" s="7" t="s">
        <v>134</v>
      </c>
      <c r="B660" s="7" t="s">
        <v>898</v>
      </c>
      <c r="C660" s="7" t="s">
        <v>126</v>
      </c>
      <c r="D660" s="8" t="n">
        <v>3</v>
      </c>
      <c r="E660" s="8" t="n">
        <v>0</v>
      </c>
      <c r="F660" s="8" t="n">
        <f aca="false">D660+E660</f>
        <v>3</v>
      </c>
      <c r="G660" s="23" t="n">
        <f aca="false">IF(F660=0,"n/a",D660/F660)</f>
        <v>1</v>
      </c>
    </row>
    <row r="661" customFormat="false" ht="15" hidden="false" customHeight="true" outlineLevel="0" collapsed="false">
      <c r="A661" s="7" t="s">
        <v>134</v>
      </c>
      <c r="B661" s="7" t="s">
        <v>759</v>
      </c>
      <c r="C661" s="7" t="s">
        <v>126</v>
      </c>
      <c r="D661" s="8" t="n">
        <v>3</v>
      </c>
      <c r="E661" s="8" t="n">
        <v>0</v>
      </c>
      <c r="F661" s="8" t="n">
        <f aca="false">D661+E661</f>
        <v>3</v>
      </c>
      <c r="G661" s="23" t="n">
        <f aca="false">IF(F661=0,"n/a",D661/F661)</f>
        <v>1</v>
      </c>
    </row>
    <row r="662" customFormat="false" ht="15" hidden="false" customHeight="true" outlineLevel="0" collapsed="false">
      <c r="A662" s="7" t="s">
        <v>134</v>
      </c>
      <c r="B662" s="7" t="s">
        <v>899</v>
      </c>
      <c r="C662" s="7" t="s">
        <v>126</v>
      </c>
      <c r="D662" s="8" t="n">
        <v>0</v>
      </c>
      <c r="E662" s="8" t="n">
        <v>2</v>
      </c>
      <c r="F662" s="8" t="n">
        <f aca="false">D662+E662</f>
        <v>2</v>
      </c>
      <c r="G662" s="23" t="n">
        <f aca="false">IF(F662=0,"n/a",D662/F662)</f>
        <v>0</v>
      </c>
    </row>
    <row r="663" customFormat="false" ht="15" hidden="false" customHeight="true" outlineLevel="0" collapsed="false">
      <c r="A663" s="7" t="s">
        <v>134</v>
      </c>
      <c r="B663" s="7" t="s">
        <v>900</v>
      </c>
      <c r="C663" s="7" t="s">
        <v>126</v>
      </c>
      <c r="D663" s="8" t="n">
        <v>0</v>
      </c>
      <c r="E663" s="8" t="n">
        <v>2</v>
      </c>
      <c r="F663" s="8" t="n">
        <f aca="false">D663+E663</f>
        <v>2</v>
      </c>
      <c r="G663" s="23" t="n">
        <f aca="false">IF(F663=0,"n/a",D663/F663)</f>
        <v>0</v>
      </c>
    </row>
    <row r="664" customFormat="false" ht="15" hidden="false" customHeight="true" outlineLevel="0" collapsed="false">
      <c r="A664" s="7" t="s">
        <v>134</v>
      </c>
      <c r="B664" s="7" t="s">
        <v>901</v>
      </c>
      <c r="C664" s="7" t="s">
        <v>126</v>
      </c>
      <c r="D664" s="8" t="n">
        <v>2</v>
      </c>
      <c r="E664" s="8" t="n">
        <v>0</v>
      </c>
      <c r="F664" s="8" t="n">
        <f aca="false">D664+E664</f>
        <v>2</v>
      </c>
      <c r="G664" s="23" t="n">
        <f aca="false">IF(F664=0,"n/a",D664/F664)</f>
        <v>1</v>
      </c>
    </row>
    <row r="665" customFormat="false" ht="15" hidden="false" customHeight="true" outlineLevel="0" collapsed="false">
      <c r="A665" s="7" t="s">
        <v>134</v>
      </c>
      <c r="B665" s="7" t="s">
        <v>902</v>
      </c>
      <c r="C665" s="7" t="s">
        <v>126</v>
      </c>
      <c r="D665" s="8" t="n">
        <v>0</v>
      </c>
      <c r="E665" s="8" t="n">
        <v>2</v>
      </c>
      <c r="F665" s="8" t="n">
        <f aca="false">D665+E665</f>
        <v>2</v>
      </c>
      <c r="G665" s="23" t="n">
        <f aca="false">IF(F665=0,"n/a",D665/F665)</f>
        <v>0</v>
      </c>
    </row>
    <row r="666" customFormat="false" ht="15" hidden="false" customHeight="true" outlineLevel="0" collapsed="false">
      <c r="A666" s="7" t="s">
        <v>134</v>
      </c>
      <c r="B666" s="7" t="s">
        <v>903</v>
      </c>
      <c r="C666" s="7" t="s">
        <v>126</v>
      </c>
      <c r="D666" s="8" t="n">
        <v>1</v>
      </c>
      <c r="E666" s="8" t="n">
        <v>0</v>
      </c>
      <c r="F666" s="8" t="n">
        <f aca="false">D666+E666</f>
        <v>1</v>
      </c>
      <c r="G666" s="23" t="n">
        <f aca="false">IF(F666=0,"n/a",D666/F666)</f>
        <v>1</v>
      </c>
    </row>
    <row r="667" customFormat="false" ht="15" hidden="false" customHeight="true" outlineLevel="0" collapsed="false">
      <c r="A667" s="7" t="s">
        <v>134</v>
      </c>
      <c r="B667" s="7" t="s">
        <v>904</v>
      </c>
      <c r="C667" s="7" t="s">
        <v>126</v>
      </c>
      <c r="D667" s="8" t="n">
        <v>1</v>
      </c>
      <c r="E667" s="8" t="n">
        <v>0</v>
      </c>
      <c r="F667" s="8" t="n">
        <f aca="false">D667+E667</f>
        <v>1</v>
      </c>
      <c r="G667" s="23" t="n">
        <f aca="false">IF(F667=0,"n/a",D667/F667)</f>
        <v>1</v>
      </c>
    </row>
    <row r="668" customFormat="false" ht="15" hidden="false" customHeight="true" outlineLevel="0" collapsed="false">
      <c r="A668" s="7" t="s">
        <v>134</v>
      </c>
      <c r="B668" s="7" t="s">
        <v>905</v>
      </c>
      <c r="C668" s="7" t="s">
        <v>126</v>
      </c>
      <c r="D668" s="8" t="n">
        <v>1</v>
      </c>
      <c r="E668" s="8" t="n">
        <v>0</v>
      </c>
      <c r="F668" s="8" t="n">
        <f aca="false">D668+E668</f>
        <v>1</v>
      </c>
      <c r="G668" s="23" t="n">
        <f aca="false">IF(F668=0,"n/a",D668/F668)</f>
        <v>1</v>
      </c>
    </row>
    <row r="669" customFormat="false" ht="15" hidden="false" customHeight="true" outlineLevel="0" collapsed="false">
      <c r="A669" s="7" t="s">
        <v>134</v>
      </c>
      <c r="B669" s="7" t="s">
        <v>854</v>
      </c>
      <c r="C669" s="7" t="s">
        <v>126</v>
      </c>
      <c r="D669" s="8" t="n">
        <v>0</v>
      </c>
      <c r="E669" s="8" t="n">
        <v>1</v>
      </c>
      <c r="F669" s="8" t="n">
        <f aca="false">D669+E669</f>
        <v>1</v>
      </c>
      <c r="G669" s="23" t="n">
        <f aca="false">IF(F669=0,"n/a",D669/F669)</f>
        <v>0</v>
      </c>
    </row>
    <row r="670" customFormat="false" ht="15" hidden="false" customHeight="true" outlineLevel="0" collapsed="false">
      <c r="A670" s="7" t="s">
        <v>134</v>
      </c>
      <c r="B670" s="7" t="s">
        <v>906</v>
      </c>
      <c r="C670" s="7" t="s">
        <v>126</v>
      </c>
      <c r="D670" s="8" t="n">
        <v>1</v>
      </c>
      <c r="E670" s="8" t="n">
        <v>0</v>
      </c>
      <c r="F670" s="8" t="n">
        <f aca="false">D670+E670</f>
        <v>1</v>
      </c>
      <c r="G670" s="23" t="n">
        <f aca="false">IF(F670=0,"n/a",D670/F670)</f>
        <v>1</v>
      </c>
    </row>
    <row r="671" customFormat="false" ht="15" hidden="false" customHeight="true" outlineLevel="0" collapsed="false">
      <c r="A671" s="7" t="s">
        <v>134</v>
      </c>
      <c r="B671" s="7" t="s">
        <v>698</v>
      </c>
      <c r="C671" s="7" t="s">
        <v>126</v>
      </c>
      <c r="D671" s="8" t="n">
        <v>0</v>
      </c>
      <c r="E671" s="8" t="n">
        <v>1</v>
      </c>
      <c r="F671" s="8" t="n">
        <f aca="false">D671+E671</f>
        <v>1</v>
      </c>
      <c r="G671" s="23" t="n">
        <f aca="false">IF(F671=0,"n/a",D671/F671)</f>
        <v>0</v>
      </c>
    </row>
    <row r="672" customFormat="false" ht="15" hidden="false" customHeight="true" outlineLevel="0" collapsed="false">
      <c r="A672" s="7" t="s">
        <v>134</v>
      </c>
      <c r="B672" s="7" t="s">
        <v>863</v>
      </c>
      <c r="C672" s="7" t="s">
        <v>126</v>
      </c>
      <c r="D672" s="8" t="n">
        <v>1</v>
      </c>
      <c r="E672" s="8" t="n">
        <v>0</v>
      </c>
      <c r="F672" s="8" t="n">
        <f aca="false">D672+E672</f>
        <v>1</v>
      </c>
      <c r="G672" s="23" t="n">
        <f aca="false">IF(F672=0,"n/a",D672/F672)</f>
        <v>1</v>
      </c>
    </row>
    <row r="673" customFormat="false" ht="15" hidden="false" customHeight="true" outlineLevel="0" collapsed="false">
      <c r="A673" s="7" t="s">
        <v>134</v>
      </c>
      <c r="B673" s="7" t="s">
        <v>634</v>
      </c>
      <c r="C673" s="7" t="s">
        <v>126</v>
      </c>
      <c r="D673" s="8" t="n">
        <v>0</v>
      </c>
      <c r="E673" s="8" t="n">
        <v>1</v>
      </c>
      <c r="F673" s="8" t="n">
        <f aca="false">D673+E673</f>
        <v>1</v>
      </c>
      <c r="G673" s="23" t="n">
        <f aca="false">IF(F673=0,"n/a",D673/F673)</f>
        <v>0</v>
      </c>
    </row>
    <row r="674" customFormat="false" ht="15" hidden="false" customHeight="true" outlineLevel="0" collapsed="false">
      <c r="A674" s="7" t="s">
        <v>134</v>
      </c>
      <c r="B674" s="7" t="s">
        <v>907</v>
      </c>
      <c r="C674" s="7" t="s">
        <v>126</v>
      </c>
      <c r="D674" s="8" t="n">
        <v>0</v>
      </c>
      <c r="E674" s="8" t="n">
        <v>1</v>
      </c>
      <c r="F674" s="8" t="n">
        <f aca="false">D674+E674</f>
        <v>1</v>
      </c>
      <c r="G674" s="23" t="n">
        <f aca="false">IF(F674=0,"n/a",D674/F674)</f>
        <v>0</v>
      </c>
    </row>
    <row r="675" customFormat="false" ht="15" hidden="false" customHeight="true" outlineLevel="0" collapsed="false">
      <c r="A675" s="7" t="s">
        <v>134</v>
      </c>
      <c r="B675" s="7" t="s">
        <v>908</v>
      </c>
      <c r="C675" s="7" t="s">
        <v>126</v>
      </c>
      <c r="D675" s="8" t="n">
        <v>0</v>
      </c>
      <c r="E675" s="8" t="n">
        <v>1</v>
      </c>
      <c r="F675" s="8" t="n">
        <f aca="false">D675+E675</f>
        <v>1</v>
      </c>
      <c r="G675" s="23" t="n">
        <f aca="false">IF(F675=0,"n/a",D675/F675)</f>
        <v>0</v>
      </c>
    </row>
    <row r="676" customFormat="false" ht="15" hidden="false" customHeight="true" outlineLevel="0" collapsed="false">
      <c r="A676" s="7" t="s">
        <v>134</v>
      </c>
      <c r="B676" s="7" t="s">
        <v>909</v>
      </c>
      <c r="C676" s="7" t="s">
        <v>126</v>
      </c>
      <c r="D676" s="8" t="n">
        <v>1</v>
      </c>
      <c r="E676" s="8" t="n">
        <v>0</v>
      </c>
      <c r="F676" s="8" t="n">
        <f aca="false">D676+E676</f>
        <v>1</v>
      </c>
      <c r="G676" s="23" t="n">
        <f aca="false">IF(F676=0,"n/a",D676/F676)</f>
        <v>1</v>
      </c>
    </row>
    <row r="677" customFormat="false" ht="15" hidden="false" customHeight="true" outlineLevel="0" collapsed="false">
      <c r="A677" s="7" t="s">
        <v>135</v>
      </c>
      <c r="B677" s="7" t="s">
        <v>910</v>
      </c>
      <c r="C677" s="7" t="s">
        <v>97</v>
      </c>
      <c r="D677" s="8" t="n">
        <v>0</v>
      </c>
      <c r="E677" s="8" t="n">
        <v>13</v>
      </c>
      <c r="F677" s="8" t="n">
        <f aca="false">D677+E677</f>
        <v>13</v>
      </c>
      <c r="G677" s="23" t="n">
        <f aca="false">IF(F677=0,"n/a",D677/F677)</f>
        <v>0</v>
      </c>
    </row>
    <row r="678" customFormat="false" ht="15" hidden="false" customHeight="true" outlineLevel="0" collapsed="false">
      <c r="A678" s="7" t="s">
        <v>135</v>
      </c>
      <c r="B678" s="7" t="s">
        <v>911</v>
      </c>
      <c r="C678" s="7" t="s">
        <v>97</v>
      </c>
      <c r="D678" s="8" t="n">
        <v>0</v>
      </c>
      <c r="E678" s="8" t="n">
        <v>12</v>
      </c>
      <c r="F678" s="8" t="n">
        <f aca="false">D678+E678</f>
        <v>12</v>
      </c>
      <c r="G678" s="23" t="n">
        <f aca="false">IF(F678=0,"n/a",D678/F678)</f>
        <v>0</v>
      </c>
    </row>
    <row r="679" customFormat="false" ht="15" hidden="false" customHeight="true" outlineLevel="0" collapsed="false">
      <c r="A679" s="7" t="s">
        <v>135</v>
      </c>
      <c r="B679" s="7" t="s">
        <v>912</v>
      </c>
      <c r="C679" s="7" t="s">
        <v>97</v>
      </c>
      <c r="D679" s="8" t="n">
        <v>0</v>
      </c>
      <c r="E679" s="8" t="n">
        <v>11</v>
      </c>
      <c r="F679" s="8" t="n">
        <f aca="false">D679+E679</f>
        <v>11</v>
      </c>
      <c r="G679" s="23" t="n">
        <f aca="false">IF(F679=0,"n/a",D679/F679)</f>
        <v>0</v>
      </c>
    </row>
    <row r="680" customFormat="false" ht="15" hidden="false" customHeight="true" outlineLevel="0" collapsed="false">
      <c r="A680" s="7" t="s">
        <v>135</v>
      </c>
      <c r="B680" s="7" t="s">
        <v>839</v>
      </c>
      <c r="C680" s="7" t="s">
        <v>97</v>
      </c>
      <c r="D680" s="8" t="n">
        <v>0</v>
      </c>
      <c r="E680" s="8" t="n">
        <v>7</v>
      </c>
      <c r="F680" s="8" t="n">
        <f aca="false">D680+E680</f>
        <v>7</v>
      </c>
      <c r="G680" s="23" t="n">
        <f aca="false">IF(F680=0,"n/a",D680/F680)</f>
        <v>0</v>
      </c>
    </row>
    <row r="681" customFormat="false" ht="15" hidden="false" customHeight="true" outlineLevel="0" collapsed="false">
      <c r="A681" s="7" t="s">
        <v>135</v>
      </c>
      <c r="B681" s="7" t="s">
        <v>913</v>
      </c>
      <c r="C681" s="7" t="s">
        <v>97</v>
      </c>
      <c r="D681" s="8" t="n">
        <v>0</v>
      </c>
      <c r="E681" s="8" t="n">
        <v>5</v>
      </c>
      <c r="F681" s="8" t="n">
        <f aca="false">D681+E681</f>
        <v>5</v>
      </c>
      <c r="G681" s="23" t="n">
        <f aca="false">IF(F681=0,"n/a",D681/F681)</f>
        <v>0</v>
      </c>
    </row>
    <row r="682" customFormat="false" ht="15" hidden="false" customHeight="true" outlineLevel="0" collapsed="false">
      <c r="A682" s="7" t="s">
        <v>135</v>
      </c>
      <c r="B682" s="7" t="s">
        <v>914</v>
      </c>
      <c r="C682" s="7" t="s">
        <v>97</v>
      </c>
      <c r="D682" s="8" t="n">
        <v>3</v>
      </c>
      <c r="E682" s="8" t="n">
        <v>2</v>
      </c>
      <c r="F682" s="8" t="n">
        <f aca="false">D682+E682</f>
        <v>5</v>
      </c>
      <c r="G682" s="23" t="n">
        <f aca="false">IF(F682=0,"n/a",D682/F682)</f>
        <v>0.6</v>
      </c>
    </row>
    <row r="683" customFormat="false" ht="15" hidden="false" customHeight="true" outlineLevel="0" collapsed="false">
      <c r="A683" s="7" t="s">
        <v>135</v>
      </c>
      <c r="B683" s="7" t="s">
        <v>629</v>
      </c>
      <c r="C683" s="7" t="s">
        <v>97</v>
      </c>
      <c r="D683" s="8" t="n">
        <v>2</v>
      </c>
      <c r="E683" s="8" t="n">
        <v>2</v>
      </c>
      <c r="F683" s="8" t="n">
        <f aca="false">D683+E683</f>
        <v>4</v>
      </c>
      <c r="G683" s="23" t="n">
        <f aca="false">IF(F683=0,"n/a",D683/F683)</f>
        <v>0.5</v>
      </c>
    </row>
    <row r="684" customFormat="false" ht="15" hidden="false" customHeight="true" outlineLevel="0" collapsed="false">
      <c r="A684" s="7" t="s">
        <v>135</v>
      </c>
      <c r="B684" s="7" t="s">
        <v>915</v>
      </c>
      <c r="C684" s="7" t="s">
        <v>97</v>
      </c>
      <c r="D684" s="8" t="n">
        <v>0</v>
      </c>
      <c r="E684" s="8" t="n">
        <v>3</v>
      </c>
      <c r="F684" s="8" t="n">
        <f aca="false">D684+E684</f>
        <v>3</v>
      </c>
      <c r="G684" s="23" t="n">
        <f aca="false">IF(F684=0,"n/a",D684/F684)</f>
        <v>0</v>
      </c>
    </row>
    <row r="685" customFormat="false" ht="15" hidden="false" customHeight="true" outlineLevel="0" collapsed="false">
      <c r="A685" s="7" t="s">
        <v>135</v>
      </c>
      <c r="B685" s="7" t="s">
        <v>916</v>
      </c>
      <c r="C685" s="7" t="s">
        <v>97</v>
      </c>
      <c r="D685" s="8" t="n">
        <v>0</v>
      </c>
      <c r="E685" s="8" t="n">
        <v>3</v>
      </c>
      <c r="F685" s="8" t="n">
        <f aca="false">D685+E685</f>
        <v>3</v>
      </c>
      <c r="G685" s="23" t="n">
        <f aca="false">IF(F685=0,"n/a",D685/F685)</f>
        <v>0</v>
      </c>
    </row>
    <row r="686" customFormat="false" ht="15" hidden="false" customHeight="true" outlineLevel="0" collapsed="false">
      <c r="A686" s="7" t="s">
        <v>135</v>
      </c>
      <c r="B686" s="7" t="s">
        <v>557</v>
      </c>
      <c r="C686" s="7" t="s">
        <v>97</v>
      </c>
      <c r="D686" s="8" t="n">
        <v>0</v>
      </c>
      <c r="E686" s="8" t="n">
        <v>2</v>
      </c>
      <c r="F686" s="8" t="n">
        <f aca="false">D686+E686</f>
        <v>2</v>
      </c>
      <c r="G686" s="23" t="n">
        <f aca="false">IF(F686=0,"n/a",D686/F686)</f>
        <v>0</v>
      </c>
    </row>
    <row r="687" customFormat="false" ht="15" hidden="false" customHeight="true" outlineLevel="0" collapsed="false">
      <c r="A687" s="7" t="s">
        <v>135</v>
      </c>
      <c r="B687" s="7" t="s">
        <v>917</v>
      </c>
      <c r="C687" s="7" t="s">
        <v>97</v>
      </c>
      <c r="D687" s="8" t="n">
        <v>1</v>
      </c>
      <c r="E687" s="8" t="n">
        <v>1</v>
      </c>
      <c r="F687" s="8" t="n">
        <f aca="false">D687+E687</f>
        <v>2</v>
      </c>
      <c r="G687" s="23" t="n">
        <f aca="false">IF(F687=0,"n/a",D687/F687)</f>
        <v>0.5</v>
      </c>
    </row>
    <row r="688" customFormat="false" ht="15" hidden="false" customHeight="true" outlineLevel="0" collapsed="false">
      <c r="A688" s="7" t="s">
        <v>135</v>
      </c>
      <c r="B688" s="7" t="s">
        <v>303</v>
      </c>
      <c r="C688" s="7" t="s">
        <v>97</v>
      </c>
      <c r="D688" s="8" t="n">
        <v>0</v>
      </c>
      <c r="E688" s="8" t="n">
        <v>2</v>
      </c>
      <c r="F688" s="8" t="n">
        <f aca="false">D688+E688</f>
        <v>2</v>
      </c>
      <c r="G688" s="23" t="n">
        <f aca="false">IF(F688=0,"n/a",D688/F688)</f>
        <v>0</v>
      </c>
    </row>
    <row r="689" customFormat="false" ht="15" hidden="false" customHeight="true" outlineLevel="0" collapsed="false">
      <c r="A689" s="7" t="s">
        <v>135</v>
      </c>
      <c r="B689" s="7" t="s">
        <v>690</v>
      </c>
      <c r="C689" s="7" t="s">
        <v>97</v>
      </c>
      <c r="D689" s="8" t="n">
        <v>0</v>
      </c>
      <c r="E689" s="8" t="n">
        <v>2</v>
      </c>
      <c r="F689" s="8" t="n">
        <f aca="false">D689+E689</f>
        <v>2</v>
      </c>
      <c r="G689" s="23" t="n">
        <f aca="false">IF(F689=0,"n/a",D689/F689)</f>
        <v>0</v>
      </c>
    </row>
    <row r="690" customFormat="false" ht="15" hidden="false" customHeight="true" outlineLevel="0" collapsed="false">
      <c r="A690" s="7" t="s">
        <v>135</v>
      </c>
      <c r="B690" s="7" t="s">
        <v>918</v>
      </c>
      <c r="C690" s="7" t="s">
        <v>97</v>
      </c>
      <c r="D690" s="8" t="n">
        <v>0</v>
      </c>
      <c r="E690" s="8" t="n">
        <v>2</v>
      </c>
      <c r="F690" s="8" t="n">
        <f aca="false">D690+E690</f>
        <v>2</v>
      </c>
      <c r="G690" s="23" t="n">
        <f aca="false">IF(F690=0,"n/a",D690/F690)</f>
        <v>0</v>
      </c>
    </row>
    <row r="691" customFormat="false" ht="15" hidden="false" customHeight="true" outlineLevel="0" collapsed="false">
      <c r="A691" s="7" t="s">
        <v>135</v>
      </c>
      <c r="B691" s="7" t="s">
        <v>919</v>
      </c>
      <c r="C691" s="7" t="s">
        <v>97</v>
      </c>
      <c r="D691" s="8" t="n">
        <v>0</v>
      </c>
      <c r="E691" s="8" t="n">
        <v>1</v>
      </c>
      <c r="F691" s="8" t="n">
        <f aca="false">D691+E691</f>
        <v>1</v>
      </c>
      <c r="G691" s="23" t="n">
        <f aca="false">IF(F691=0,"n/a",D691/F691)</f>
        <v>0</v>
      </c>
    </row>
    <row r="692" customFormat="false" ht="15" hidden="false" customHeight="true" outlineLevel="0" collapsed="false">
      <c r="A692" s="7" t="s">
        <v>135</v>
      </c>
      <c r="B692" s="7" t="s">
        <v>920</v>
      </c>
      <c r="C692" s="7" t="s">
        <v>97</v>
      </c>
      <c r="D692" s="8" t="n">
        <v>0</v>
      </c>
      <c r="E692" s="8" t="n">
        <v>1</v>
      </c>
      <c r="F692" s="8" t="n">
        <f aca="false">D692+E692</f>
        <v>1</v>
      </c>
      <c r="G692" s="23" t="n">
        <f aca="false">IF(F692=0,"n/a",D692/F692)</f>
        <v>0</v>
      </c>
    </row>
    <row r="693" customFormat="false" ht="15" hidden="false" customHeight="true" outlineLevel="0" collapsed="false">
      <c r="A693" s="7" t="s">
        <v>135</v>
      </c>
      <c r="B693" s="7" t="s">
        <v>921</v>
      </c>
      <c r="C693" s="7" t="s">
        <v>97</v>
      </c>
      <c r="D693" s="8" t="n">
        <v>0</v>
      </c>
      <c r="E693" s="8" t="n">
        <v>1</v>
      </c>
      <c r="F693" s="8" t="n">
        <f aca="false">D693+E693</f>
        <v>1</v>
      </c>
      <c r="G693" s="23" t="n">
        <f aca="false">IF(F693=0,"n/a",D693/F693)</f>
        <v>0</v>
      </c>
    </row>
    <row r="694" customFormat="false" ht="15" hidden="false" customHeight="true" outlineLevel="0" collapsed="false">
      <c r="A694" s="7" t="s">
        <v>135</v>
      </c>
      <c r="B694" s="7" t="s">
        <v>922</v>
      </c>
      <c r="C694" s="7" t="s">
        <v>97</v>
      </c>
      <c r="D694" s="8" t="n">
        <v>0</v>
      </c>
      <c r="E694" s="8" t="n">
        <v>1</v>
      </c>
      <c r="F694" s="8" t="n">
        <f aca="false">D694+E694</f>
        <v>1</v>
      </c>
      <c r="G694" s="23" t="n">
        <f aca="false">IF(F694=0,"n/a",D694/F694)</f>
        <v>0</v>
      </c>
    </row>
    <row r="695" customFormat="false" ht="15" hidden="false" customHeight="true" outlineLevel="0" collapsed="false">
      <c r="A695" s="7" t="s">
        <v>135</v>
      </c>
      <c r="B695" s="7" t="s">
        <v>838</v>
      </c>
      <c r="C695" s="7" t="s">
        <v>97</v>
      </c>
      <c r="D695" s="8" t="n">
        <v>1</v>
      </c>
      <c r="E695" s="8" t="n">
        <v>0</v>
      </c>
      <c r="F695" s="8" t="n">
        <f aca="false">D695+E695</f>
        <v>1</v>
      </c>
      <c r="G695" s="23" t="n">
        <f aca="false">IF(F695=0,"n/a",D695/F695)</f>
        <v>1</v>
      </c>
    </row>
    <row r="696" customFormat="false" ht="15" hidden="false" customHeight="true" outlineLevel="0" collapsed="false">
      <c r="A696" s="7" t="s">
        <v>135</v>
      </c>
      <c r="B696" s="7" t="s">
        <v>923</v>
      </c>
      <c r="C696" s="7" t="s">
        <v>97</v>
      </c>
      <c r="D696" s="8" t="n">
        <v>0</v>
      </c>
      <c r="E696" s="8" t="n">
        <v>1</v>
      </c>
      <c r="F696" s="8" t="n">
        <f aca="false">D696+E696</f>
        <v>1</v>
      </c>
      <c r="G696" s="23" t="n">
        <f aca="false">IF(F696=0,"n/a",D696/F696)</f>
        <v>0</v>
      </c>
    </row>
    <row r="697" customFormat="false" ht="15" hidden="false" customHeight="true" outlineLevel="0" collapsed="false">
      <c r="A697" s="7" t="s">
        <v>135</v>
      </c>
      <c r="B697" s="7" t="s">
        <v>924</v>
      </c>
      <c r="C697" s="7" t="s">
        <v>97</v>
      </c>
      <c r="D697" s="8" t="n">
        <v>0</v>
      </c>
      <c r="E697" s="8" t="n">
        <v>1</v>
      </c>
      <c r="F697" s="8" t="n">
        <f aca="false">D697+E697</f>
        <v>1</v>
      </c>
      <c r="G697" s="23" t="n">
        <f aca="false">IF(F697=0,"n/a",D697/F697)</f>
        <v>0</v>
      </c>
    </row>
    <row r="698" customFormat="false" ht="15" hidden="false" customHeight="true" outlineLevel="0" collapsed="false">
      <c r="A698" s="7" t="s">
        <v>135</v>
      </c>
      <c r="B698" s="7" t="s">
        <v>925</v>
      </c>
      <c r="C698" s="7" t="s">
        <v>97</v>
      </c>
      <c r="D698" s="8" t="n">
        <v>0</v>
      </c>
      <c r="E698" s="8" t="n">
        <v>1</v>
      </c>
      <c r="F698" s="8" t="n">
        <f aca="false">D698+E698</f>
        <v>1</v>
      </c>
      <c r="G698" s="23" t="n">
        <f aca="false">IF(F698=0,"n/a",D698/F698)</f>
        <v>0</v>
      </c>
    </row>
    <row r="699" customFormat="false" ht="15" hidden="false" customHeight="true" outlineLevel="0" collapsed="false">
      <c r="A699" s="7" t="s">
        <v>135</v>
      </c>
      <c r="B699" s="7" t="s">
        <v>926</v>
      </c>
      <c r="C699" s="7" t="s">
        <v>97</v>
      </c>
      <c r="D699" s="8" t="n">
        <v>0</v>
      </c>
      <c r="E699" s="8" t="n">
        <v>1</v>
      </c>
      <c r="F699" s="8" t="n">
        <f aca="false">D699+E699</f>
        <v>1</v>
      </c>
      <c r="G699" s="23" t="n">
        <f aca="false">IF(F699=0,"n/a",D699/F699)</f>
        <v>0</v>
      </c>
    </row>
    <row r="700" customFormat="false" ht="15" hidden="false" customHeight="true" outlineLevel="0" collapsed="false">
      <c r="A700" s="7" t="s">
        <v>136</v>
      </c>
      <c r="B700" s="7" t="s">
        <v>927</v>
      </c>
      <c r="C700" s="7" t="s">
        <v>101</v>
      </c>
      <c r="D700" s="8" t="n">
        <v>0</v>
      </c>
      <c r="E700" s="8" t="n">
        <v>7</v>
      </c>
      <c r="F700" s="8" t="n">
        <f aca="false">D700+E700</f>
        <v>7</v>
      </c>
      <c r="G700" s="23" t="n">
        <f aca="false">IF(F700=0,"n/a",D700/F700)</f>
        <v>0</v>
      </c>
    </row>
    <row r="701" customFormat="false" ht="15" hidden="false" customHeight="true" outlineLevel="0" collapsed="false">
      <c r="A701" s="7" t="s">
        <v>136</v>
      </c>
      <c r="B701" s="7" t="s">
        <v>928</v>
      </c>
      <c r="C701" s="7" t="s">
        <v>101</v>
      </c>
      <c r="D701" s="8" t="n">
        <v>0</v>
      </c>
      <c r="E701" s="8" t="n">
        <v>3</v>
      </c>
      <c r="F701" s="8" t="n">
        <f aca="false">D701+E701</f>
        <v>3</v>
      </c>
      <c r="G701" s="23" t="n">
        <f aca="false">IF(F701=0,"n/a",D701/F701)</f>
        <v>0</v>
      </c>
    </row>
    <row r="702" customFormat="false" ht="15" hidden="false" customHeight="true" outlineLevel="0" collapsed="false">
      <c r="A702" s="7" t="s">
        <v>136</v>
      </c>
      <c r="B702" s="7" t="s">
        <v>929</v>
      </c>
      <c r="C702" s="7" t="s">
        <v>101</v>
      </c>
      <c r="D702" s="8" t="n">
        <v>0</v>
      </c>
      <c r="E702" s="8" t="n">
        <v>1</v>
      </c>
      <c r="F702" s="8" t="n">
        <f aca="false">D702+E702</f>
        <v>1</v>
      </c>
      <c r="G702" s="23" t="n">
        <f aca="false">IF(F702=0,"n/a",D702/F702)</f>
        <v>0</v>
      </c>
    </row>
    <row r="703" customFormat="false" ht="15" hidden="false" customHeight="true" outlineLevel="0" collapsed="false">
      <c r="A703" s="7" t="s">
        <v>136</v>
      </c>
      <c r="B703" s="7" t="s">
        <v>930</v>
      </c>
      <c r="C703" s="7" t="s">
        <v>101</v>
      </c>
      <c r="D703" s="8" t="n">
        <v>1</v>
      </c>
      <c r="E703" s="8" t="n">
        <v>0</v>
      </c>
      <c r="F703" s="8" t="n">
        <f aca="false">D703+E703</f>
        <v>1</v>
      </c>
      <c r="G703" s="23" t="n">
        <f aca="false">IF(F703=0,"n/a",D703/F703)</f>
        <v>1</v>
      </c>
    </row>
    <row r="704" customFormat="false" ht="15" hidden="false" customHeight="true" outlineLevel="0" collapsed="false">
      <c r="A704" s="7" t="s">
        <v>136</v>
      </c>
      <c r="B704" s="7" t="s">
        <v>931</v>
      </c>
      <c r="C704" s="7" t="s">
        <v>101</v>
      </c>
      <c r="D704" s="8" t="n">
        <v>1</v>
      </c>
      <c r="E704" s="8" t="n">
        <v>0</v>
      </c>
      <c r="F704" s="8" t="n">
        <f aca="false">D704+E704</f>
        <v>1</v>
      </c>
      <c r="G704" s="23" t="n">
        <f aca="false">IF(F704=0,"n/a",D704/F704)</f>
        <v>1</v>
      </c>
    </row>
    <row r="705" customFormat="false" ht="15" hidden="false" customHeight="true" outlineLevel="0" collapsed="false">
      <c r="A705" s="7" t="s">
        <v>83</v>
      </c>
      <c r="B705" s="7" t="s">
        <v>932</v>
      </c>
      <c r="C705" s="7" t="s">
        <v>137</v>
      </c>
      <c r="D705" s="8" t="n">
        <v>15</v>
      </c>
      <c r="E705" s="8" t="n">
        <v>21</v>
      </c>
      <c r="F705" s="8" t="n">
        <f aca="false">D705+E705</f>
        <v>36</v>
      </c>
      <c r="G705" s="23" t="n">
        <f aca="false">IF(F705=0,"n/a",D705/F705)</f>
        <v>0.416666666666667</v>
      </c>
    </row>
    <row r="706" customFormat="false" ht="15" hidden="false" customHeight="true" outlineLevel="0" collapsed="false">
      <c r="A706" s="7" t="s">
        <v>83</v>
      </c>
      <c r="B706" s="7" t="s">
        <v>933</v>
      </c>
      <c r="C706" s="7" t="s">
        <v>137</v>
      </c>
      <c r="D706" s="15" t="n">
        <v>0</v>
      </c>
      <c r="E706" s="15" t="n">
        <v>23</v>
      </c>
      <c r="F706" s="8" t="n">
        <f aca="false">D706+E706</f>
        <v>23</v>
      </c>
      <c r="G706" s="23" t="n">
        <f aca="false">IF(F706=0,"n/a",D706/F706)</f>
        <v>0</v>
      </c>
    </row>
    <row r="707" customFormat="false" ht="15" hidden="false" customHeight="true" outlineLevel="0" collapsed="false">
      <c r="A707" s="7" t="s">
        <v>83</v>
      </c>
      <c r="B707" s="7" t="s">
        <v>838</v>
      </c>
      <c r="C707" s="7" t="s">
        <v>137</v>
      </c>
      <c r="D707" s="8" t="n">
        <v>4</v>
      </c>
      <c r="E707" s="8" t="n">
        <v>9</v>
      </c>
      <c r="F707" s="8" t="n">
        <f aca="false">D707+E707</f>
        <v>13</v>
      </c>
      <c r="G707" s="23" t="n">
        <f aca="false">IF(F707=0,"n/a",D707/F707)</f>
        <v>0.307692307692308</v>
      </c>
    </row>
    <row r="708" customFormat="false" ht="15" hidden="false" customHeight="true" outlineLevel="0" collapsed="false">
      <c r="A708" s="7" t="s">
        <v>83</v>
      </c>
      <c r="B708" s="7" t="s">
        <v>934</v>
      </c>
      <c r="C708" s="7" t="s">
        <v>137</v>
      </c>
      <c r="D708" s="15" t="n">
        <v>0</v>
      </c>
      <c r="E708" s="15" t="n">
        <v>10</v>
      </c>
      <c r="F708" s="8" t="n">
        <f aca="false">D708+E708</f>
        <v>10</v>
      </c>
      <c r="G708" s="23" t="n">
        <f aca="false">IF(F708=0,"n/a",D708/F708)</f>
        <v>0</v>
      </c>
    </row>
    <row r="709" customFormat="false" ht="15" hidden="false" customHeight="true" outlineLevel="0" collapsed="false">
      <c r="A709" s="7" t="s">
        <v>83</v>
      </c>
      <c r="B709" s="7" t="s">
        <v>935</v>
      </c>
      <c r="C709" s="7" t="s">
        <v>137</v>
      </c>
      <c r="D709" s="8" t="n">
        <v>0</v>
      </c>
      <c r="E709" s="8" t="n">
        <v>9</v>
      </c>
      <c r="F709" s="8" t="n">
        <f aca="false">D709+E709</f>
        <v>9</v>
      </c>
      <c r="G709" s="23" t="n">
        <f aca="false">IF(F709=0,"n/a",D709/F709)</f>
        <v>0</v>
      </c>
    </row>
    <row r="710" customFormat="false" ht="15" hidden="false" customHeight="true" outlineLevel="0" collapsed="false">
      <c r="A710" s="7" t="s">
        <v>83</v>
      </c>
      <c r="B710" s="7" t="s">
        <v>936</v>
      </c>
      <c r="C710" s="7" t="s">
        <v>137</v>
      </c>
      <c r="D710" s="8" t="n">
        <v>0</v>
      </c>
      <c r="E710" s="8" t="n">
        <v>9</v>
      </c>
      <c r="F710" s="8" t="n">
        <f aca="false">D710+E710</f>
        <v>9</v>
      </c>
      <c r="G710" s="23" t="n">
        <f aca="false">IF(F710=0,"n/a",D710/F710)</f>
        <v>0</v>
      </c>
    </row>
    <row r="711" customFormat="false" ht="15" hidden="false" customHeight="true" outlineLevel="0" collapsed="false">
      <c r="A711" s="7" t="s">
        <v>83</v>
      </c>
      <c r="B711" s="7" t="s">
        <v>937</v>
      </c>
      <c r="C711" s="7" t="s">
        <v>137</v>
      </c>
      <c r="D711" s="15" t="n">
        <v>5</v>
      </c>
      <c r="E711" s="15" t="n">
        <v>3</v>
      </c>
      <c r="F711" s="8" t="n">
        <f aca="false">D711+E711</f>
        <v>8</v>
      </c>
      <c r="G711" s="23" t="n">
        <f aca="false">IF(F711=0,"n/a",D711/F711)</f>
        <v>0.625</v>
      </c>
    </row>
    <row r="712" customFormat="false" ht="15" hidden="false" customHeight="true" outlineLevel="0" collapsed="false">
      <c r="A712" s="7" t="s">
        <v>83</v>
      </c>
      <c r="B712" s="7" t="s">
        <v>938</v>
      </c>
      <c r="C712" s="7" t="s">
        <v>137</v>
      </c>
      <c r="D712" s="8" t="n">
        <v>3</v>
      </c>
      <c r="E712" s="8" t="n">
        <v>4</v>
      </c>
      <c r="F712" s="8" t="n">
        <f aca="false">D712+E712</f>
        <v>7</v>
      </c>
      <c r="G712" s="23" t="n">
        <f aca="false">IF(F712=0,"n/a",D712/F712)</f>
        <v>0.428571428571429</v>
      </c>
    </row>
    <row r="713" customFormat="false" ht="15" hidden="false" customHeight="true" outlineLevel="0" collapsed="false">
      <c r="A713" s="7" t="s">
        <v>83</v>
      </c>
      <c r="B713" s="7" t="s">
        <v>939</v>
      </c>
      <c r="C713" s="7" t="s">
        <v>137</v>
      </c>
      <c r="D713" s="8" t="n">
        <v>0</v>
      </c>
      <c r="E713" s="8" t="n">
        <v>7</v>
      </c>
      <c r="F713" s="8" t="n">
        <f aca="false">D713+E713</f>
        <v>7</v>
      </c>
      <c r="G713" s="23" t="n">
        <f aca="false">IF(F713=0,"n/a",D713/F713)</f>
        <v>0</v>
      </c>
    </row>
    <row r="714" customFormat="false" ht="15" hidden="false" customHeight="true" outlineLevel="0" collapsed="false">
      <c r="A714" s="7" t="s">
        <v>83</v>
      </c>
      <c r="B714" s="7" t="s">
        <v>315</v>
      </c>
      <c r="C714" s="7" t="s">
        <v>137</v>
      </c>
      <c r="D714" s="15" t="n">
        <v>0</v>
      </c>
      <c r="E714" s="15" t="n">
        <v>6</v>
      </c>
      <c r="F714" s="8" t="n">
        <f aca="false">D714+E714</f>
        <v>6</v>
      </c>
      <c r="G714" s="23" t="n">
        <f aca="false">IF(F714=0,"n/a",D714/F714)</f>
        <v>0</v>
      </c>
    </row>
    <row r="715" customFormat="false" ht="15" hidden="false" customHeight="true" outlineLevel="0" collapsed="false">
      <c r="A715" s="7" t="s">
        <v>83</v>
      </c>
      <c r="B715" s="7" t="s">
        <v>583</v>
      </c>
      <c r="C715" s="7" t="s">
        <v>137</v>
      </c>
      <c r="D715" s="15" t="n">
        <v>1</v>
      </c>
      <c r="E715" s="15" t="n">
        <v>5</v>
      </c>
      <c r="F715" s="8" t="n">
        <f aca="false">D715+E715</f>
        <v>6</v>
      </c>
      <c r="G715" s="23" t="n">
        <f aca="false">IF(F715=0,"n/a",D715/F715)</f>
        <v>0.166666666666667</v>
      </c>
    </row>
    <row r="716" customFormat="false" ht="15" hidden="false" customHeight="true" outlineLevel="0" collapsed="false">
      <c r="A716" s="7" t="s">
        <v>83</v>
      </c>
      <c r="B716" s="7" t="s">
        <v>940</v>
      </c>
      <c r="C716" s="7" t="s">
        <v>137</v>
      </c>
      <c r="D716" s="15" t="n">
        <v>2</v>
      </c>
      <c r="E716" s="15" t="n">
        <v>3</v>
      </c>
      <c r="F716" s="8" t="n">
        <f aca="false">D716+E716</f>
        <v>5</v>
      </c>
      <c r="G716" s="23" t="n">
        <f aca="false">IF(F716=0,"n/a",D716/F716)</f>
        <v>0.4</v>
      </c>
    </row>
    <row r="717" customFormat="false" ht="15" hidden="false" customHeight="true" outlineLevel="0" collapsed="false">
      <c r="A717" s="7" t="s">
        <v>83</v>
      </c>
      <c r="B717" s="7" t="s">
        <v>941</v>
      </c>
      <c r="C717" s="7" t="s">
        <v>137</v>
      </c>
      <c r="D717" s="8" t="n">
        <v>0</v>
      </c>
      <c r="E717" s="8" t="n">
        <v>5</v>
      </c>
      <c r="F717" s="8" t="n">
        <f aca="false">D717+E717</f>
        <v>5</v>
      </c>
      <c r="G717" s="23" t="n">
        <f aca="false">IF(F717=0,"n/a",D717/F717)</f>
        <v>0</v>
      </c>
    </row>
    <row r="718" customFormat="false" ht="15" hidden="false" customHeight="true" outlineLevel="0" collapsed="false">
      <c r="A718" s="7" t="s">
        <v>83</v>
      </c>
      <c r="B718" s="7" t="s">
        <v>942</v>
      </c>
      <c r="C718" s="7" t="s">
        <v>137</v>
      </c>
      <c r="D718" s="15" t="n">
        <v>0</v>
      </c>
      <c r="E718" s="15" t="n">
        <v>4</v>
      </c>
      <c r="F718" s="8" t="n">
        <f aca="false">D718+E718</f>
        <v>4</v>
      </c>
      <c r="G718" s="23" t="n">
        <f aca="false">IF(F718=0,"n/a",D718/F718)</f>
        <v>0</v>
      </c>
    </row>
    <row r="719" customFormat="false" ht="15" hidden="false" customHeight="true" outlineLevel="0" collapsed="false">
      <c r="A719" s="7" t="s">
        <v>83</v>
      </c>
      <c r="B719" s="7" t="s">
        <v>943</v>
      </c>
      <c r="C719" s="7" t="s">
        <v>137</v>
      </c>
      <c r="D719" s="8" t="n">
        <v>2</v>
      </c>
      <c r="E719" s="8" t="n">
        <v>1</v>
      </c>
      <c r="F719" s="8" t="n">
        <f aca="false">D719+E719</f>
        <v>3</v>
      </c>
      <c r="G719" s="23" t="n">
        <f aca="false">IF(F719=0,"n/a",D719/F719)</f>
        <v>0.666666666666667</v>
      </c>
    </row>
    <row r="720" customFormat="false" ht="15" hidden="false" customHeight="true" outlineLevel="0" collapsed="false">
      <c r="A720" s="7" t="s">
        <v>83</v>
      </c>
      <c r="B720" s="7" t="s">
        <v>661</v>
      </c>
      <c r="C720" s="7" t="s">
        <v>137</v>
      </c>
      <c r="D720" s="8" t="n">
        <v>2</v>
      </c>
      <c r="E720" s="8" t="n">
        <v>1</v>
      </c>
      <c r="F720" s="8" t="n">
        <f aca="false">D720+E720</f>
        <v>3</v>
      </c>
      <c r="G720" s="23" t="n">
        <f aca="false">IF(F720=0,"n/a",D720/F720)</f>
        <v>0.666666666666667</v>
      </c>
    </row>
    <row r="721" customFormat="false" ht="15" hidden="false" customHeight="true" outlineLevel="0" collapsed="false">
      <c r="A721" s="7" t="s">
        <v>83</v>
      </c>
      <c r="B721" s="7" t="s">
        <v>944</v>
      </c>
      <c r="C721" s="7" t="s">
        <v>137</v>
      </c>
      <c r="D721" s="8" t="n">
        <v>0</v>
      </c>
      <c r="E721" s="8" t="n">
        <v>3</v>
      </c>
      <c r="F721" s="8" t="n">
        <f aca="false">D721+E721</f>
        <v>3</v>
      </c>
      <c r="G721" s="23" t="n">
        <f aca="false">IF(F721=0,"n/a",D721/F721)</f>
        <v>0</v>
      </c>
    </row>
    <row r="722" customFormat="false" ht="15" hidden="false" customHeight="true" outlineLevel="0" collapsed="false">
      <c r="A722" s="7" t="s">
        <v>83</v>
      </c>
      <c r="B722" s="7" t="s">
        <v>945</v>
      </c>
      <c r="C722" s="7" t="s">
        <v>137</v>
      </c>
      <c r="D722" s="8" t="n">
        <v>3</v>
      </c>
      <c r="E722" s="8" t="n">
        <v>0</v>
      </c>
      <c r="F722" s="8" t="n">
        <f aca="false">D722+E722</f>
        <v>3</v>
      </c>
      <c r="G722" s="23" t="n">
        <f aca="false">IF(F722=0,"n/a",D722/F722)</f>
        <v>1</v>
      </c>
    </row>
    <row r="723" customFormat="false" ht="15" hidden="false" customHeight="true" outlineLevel="0" collapsed="false">
      <c r="A723" s="7" t="s">
        <v>83</v>
      </c>
      <c r="B723" s="7" t="s">
        <v>946</v>
      </c>
      <c r="C723" s="7" t="s">
        <v>137</v>
      </c>
      <c r="D723" s="8" t="n">
        <v>0</v>
      </c>
      <c r="E723" s="8" t="n">
        <v>3</v>
      </c>
      <c r="F723" s="8" t="n">
        <f aca="false">D723+E723</f>
        <v>3</v>
      </c>
      <c r="G723" s="23" t="n">
        <f aca="false">IF(F723=0,"n/a",D723/F723)</f>
        <v>0</v>
      </c>
    </row>
    <row r="724" customFormat="false" ht="15" hidden="false" customHeight="true" outlineLevel="0" collapsed="false">
      <c r="A724" s="7" t="s">
        <v>83</v>
      </c>
      <c r="B724" s="7" t="s">
        <v>947</v>
      </c>
      <c r="C724" s="7" t="s">
        <v>137</v>
      </c>
      <c r="D724" s="8" t="n">
        <v>0</v>
      </c>
      <c r="E724" s="8" t="n">
        <v>3</v>
      </c>
      <c r="F724" s="8" t="n">
        <f aca="false">D724+E724</f>
        <v>3</v>
      </c>
      <c r="G724" s="23" t="n">
        <f aca="false">IF(F724=0,"n/a",D724/F724)</f>
        <v>0</v>
      </c>
    </row>
    <row r="725" customFormat="false" ht="15" hidden="false" customHeight="true" outlineLevel="0" collapsed="false">
      <c r="A725" s="7" t="s">
        <v>83</v>
      </c>
      <c r="B725" s="7" t="s">
        <v>948</v>
      </c>
      <c r="C725" s="7" t="s">
        <v>137</v>
      </c>
      <c r="D725" s="8" t="n">
        <v>2</v>
      </c>
      <c r="E725" s="8" t="n">
        <v>0</v>
      </c>
      <c r="F725" s="8" t="n">
        <f aca="false">D725+E725</f>
        <v>2</v>
      </c>
      <c r="G725" s="23" t="n">
        <f aca="false">IF(F725=0,"n/a",D725/F725)</f>
        <v>1</v>
      </c>
    </row>
    <row r="726" customFormat="false" ht="15" hidden="false" customHeight="true" outlineLevel="0" collapsed="false">
      <c r="A726" s="7" t="s">
        <v>83</v>
      </c>
      <c r="B726" s="7" t="s">
        <v>949</v>
      </c>
      <c r="C726" s="7" t="s">
        <v>137</v>
      </c>
      <c r="D726" s="8" t="n">
        <v>0</v>
      </c>
      <c r="E726" s="8" t="n">
        <v>2</v>
      </c>
      <c r="F726" s="8" t="n">
        <f aca="false">D726+E726</f>
        <v>2</v>
      </c>
      <c r="G726" s="23" t="n">
        <f aca="false">IF(F726=0,"n/a",D726/F726)</f>
        <v>0</v>
      </c>
    </row>
    <row r="727" customFormat="false" ht="15" hidden="false" customHeight="true" outlineLevel="0" collapsed="false">
      <c r="A727" s="7" t="s">
        <v>83</v>
      </c>
      <c r="B727" s="7" t="s">
        <v>950</v>
      </c>
      <c r="C727" s="7" t="s">
        <v>137</v>
      </c>
      <c r="D727" s="8" t="n">
        <v>0</v>
      </c>
      <c r="E727" s="8" t="n">
        <v>2</v>
      </c>
      <c r="F727" s="8" t="n">
        <f aca="false">D727+E727</f>
        <v>2</v>
      </c>
      <c r="G727" s="23" t="n">
        <f aca="false">IF(F727=0,"n/a",D727/F727)</f>
        <v>0</v>
      </c>
    </row>
    <row r="728" customFormat="false" ht="15" hidden="false" customHeight="true" outlineLevel="0" collapsed="false">
      <c r="A728" s="7" t="s">
        <v>83</v>
      </c>
      <c r="B728" s="7" t="s">
        <v>951</v>
      </c>
      <c r="C728" s="7" t="s">
        <v>137</v>
      </c>
      <c r="D728" s="8" t="n">
        <v>2</v>
      </c>
      <c r="E728" s="8" t="n">
        <v>0</v>
      </c>
      <c r="F728" s="8" t="n">
        <f aca="false">D728+E728</f>
        <v>2</v>
      </c>
      <c r="G728" s="23" t="n">
        <f aca="false">IF(F728=0,"n/a",D728/F728)</f>
        <v>1</v>
      </c>
    </row>
    <row r="729" customFormat="false" ht="15" hidden="false" customHeight="true" outlineLevel="0" collapsed="false">
      <c r="A729" s="7" t="s">
        <v>83</v>
      </c>
      <c r="B729" s="7" t="s">
        <v>510</v>
      </c>
      <c r="C729" s="7" t="s">
        <v>137</v>
      </c>
      <c r="D729" s="8" t="n">
        <v>0</v>
      </c>
      <c r="E729" s="8" t="n">
        <v>2</v>
      </c>
      <c r="F729" s="8" t="n">
        <f aca="false">D729+E729</f>
        <v>2</v>
      </c>
      <c r="G729" s="23" t="n">
        <f aca="false">IF(F729=0,"n/a",D729/F729)</f>
        <v>0</v>
      </c>
    </row>
    <row r="730" customFormat="false" ht="15" hidden="false" customHeight="true" outlineLevel="0" collapsed="false">
      <c r="A730" s="7" t="s">
        <v>83</v>
      </c>
      <c r="B730" s="7" t="s">
        <v>310</v>
      </c>
      <c r="C730" s="7" t="s">
        <v>137</v>
      </c>
      <c r="D730" s="8" t="n">
        <v>0</v>
      </c>
      <c r="E730" s="8" t="n">
        <v>2</v>
      </c>
      <c r="F730" s="8" t="n">
        <f aca="false">D730+E730</f>
        <v>2</v>
      </c>
      <c r="G730" s="23" t="n">
        <f aca="false">IF(F730=0,"n/a",D730/F730)</f>
        <v>0</v>
      </c>
    </row>
    <row r="731" customFormat="false" ht="15" hidden="false" customHeight="true" outlineLevel="0" collapsed="false">
      <c r="A731" s="7" t="s">
        <v>83</v>
      </c>
      <c r="B731" s="7" t="s">
        <v>952</v>
      </c>
      <c r="C731" s="7" t="s">
        <v>137</v>
      </c>
      <c r="D731" s="8" t="n">
        <v>1</v>
      </c>
      <c r="E731" s="8" t="n">
        <v>0</v>
      </c>
      <c r="F731" s="8" t="n">
        <f aca="false">D731+E731</f>
        <v>1</v>
      </c>
      <c r="G731" s="23" t="n">
        <f aca="false">IF(F731=0,"n/a",D731/F731)</f>
        <v>1</v>
      </c>
    </row>
    <row r="732" customFormat="false" ht="15" hidden="false" customHeight="true" outlineLevel="0" collapsed="false">
      <c r="A732" s="7" t="s">
        <v>83</v>
      </c>
      <c r="B732" s="7" t="s">
        <v>953</v>
      </c>
      <c r="C732" s="7" t="s">
        <v>137</v>
      </c>
      <c r="D732" s="8" t="n">
        <v>0</v>
      </c>
      <c r="E732" s="8" t="n">
        <v>1</v>
      </c>
      <c r="F732" s="8" t="n">
        <f aca="false">D732+E732</f>
        <v>1</v>
      </c>
      <c r="G732" s="23" t="n">
        <f aca="false">IF(F732=0,"n/a",D732/F732)</f>
        <v>0</v>
      </c>
    </row>
    <row r="733" customFormat="false" ht="15" hidden="false" customHeight="true" outlineLevel="0" collapsed="false">
      <c r="A733" s="7" t="s">
        <v>83</v>
      </c>
      <c r="B733" s="7" t="s">
        <v>954</v>
      </c>
      <c r="C733" s="7" t="s">
        <v>137</v>
      </c>
      <c r="D733" s="8" t="n">
        <v>0</v>
      </c>
      <c r="E733" s="8" t="n">
        <v>1</v>
      </c>
      <c r="F733" s="8" t="n">
        <f aca="false">D733+E733</f>
        <v>1</v>
      </c>
      <c r="G733" s="23" t="n">
        <f aca="false">IF(F733=0,"n/a",D733/F733)</f>
        <v>0</v>
      </c>
    </row>
    <row r="734" customFormat="false" ht="15" hidden="false" customHeight="true" outlineLevel="0" collapsed="false">
      <c r="A734" s="7" t="s">
        <v>83</v>
      </c>
      <c r="B734" s="7" t="s">
        <v>955</v>
      </c>
      <c r="C734" s="7" t="s">
        <v>137</v>
      </c>
      <c r="D734" s="8" t="n">
        <v>1</v>
      </c>
      <c r="E734" s="8" t="n">
        <v>0</v>
      </c>
      <c r="F734" s="8" t="n">
        <f aca="false">D734+E734</f>
        <v>1</v>
      </c>
      <c r="G734" s="23" t="n">
        <f aca="false">IF(F734=0,"n/a",D734/F734)</f>
        <v>1</v>
      </c>
    </row>
    <row r="735" customFormat="false" ht="15" hidden="false" customHeight="true" outlineLevel="0" collapsed="false">
      <c r="A735" s="7" t="s">
        <v>83</v>
      </c>
      <c r="B735" s="7" t="s">
        <v>956</v>
      </c>
      <c r="C735" s="7" t="s">
        <v>137</v>
      </c>
      <c r="D735" s="8" t="n">
        <v>0</v>
      </c>
      <c r="E735" s="8" t="n">
        <v>1</v>
      </c>
      <c r="F735" s="8" t="n">
        <f aca="false">D735+E735</f>
        <v>1</v>
      </c>
      <c r="G735" s="23" t="n">
        <f aca="false">IF(F735=0,"n/a",D735/F735)</f>
        <v>0</v>
      </c>
    </row>
    <row r="736" customFormat="false" ht="15" hidden="false" customHeight="true" outlineLevel="0" collapsed="false">
      <c r="A736" s="7" t="s">
        <v>83</v>
      </c>
      <c r="B736" s="7" t="s">
        <v>957</v>
      </c>
      <c r="C736" s="7" t="s">
        <v>137</v>
      </c>
      <c r="D736" s="15" t="n">
        <v>0</v>
      </c>
      <c r="E736" s="15" t="n">
        <v>1</v>
      </c>
      <c r="F736" s="8" t="n">
        <f aca="false">D736+E736</f>
        <v>1</v>
      </c>
      <c r="G736" s="23" t="n">
        <f aca="false">IF(F736=0,"n/a",D736/F736)</f>
        <v>0</v>
      </c>
    </row>
    <row r="737" customFormat="false" ht="15" hidden="false" customHeight="true" outlineLevel="0" collapsed="false">
      <c r="A737" s="7" t="s">
        <v>83</v>
      </c>
      <c r="B737" s="7" t="s">
        <v>958</v>
      </c>
      <c r="C737" s="7" t="s">
        <v>137</v>
      </c>
      <c r="D737" s="8" t="n">
        <v>0</v>
      </c>
      <c r="E737" s="8" t="n">
        <v>1</v>
      </c>
      <c r="F737" s="8" t="n">
        <f aca="false">D737+E737</f>
        <v>1</v>
      </c>
      <c r="G737" s="23" t="n">
        <f aca="false">IF(F737=0,"n/a",D737/F737)</f>
        <v>0</v>
      </c>
    </row>
    <row r="738" customFormat="false" ht="15" hidden="false" customHeight="true" outlineLevel="0" collapsed="false">
      <c r="A738" s="7" t="s">
        <v>83</v>
      </c>
      <c r="B738" s="7" t="s">
        <v>959</v>
      </c>
      <c r="C738" s="7" t="s">
        <v>137</v>
      </c>
      <c r="D738" s="8" t="n">
        <v>0</v>
      </c>
      <c r="E738" s="8" t="n">
        <v>1</v>
      </c>
      <c r="F738" s="8" t="n">
        <f aca="false">D738+E738</f>
        <v>1</v>
      </c>
      <c r="G738" s="23" t="n">
        <f aca="false">IF(F738=0,"n/a",D738/F738)</f>
        <v>0</v>
      </c>
    </row>
    <row r="739" customFormat="false" ht="15" hidden="false" customHeight="true" outlineLevel="0" collapsed="false">
      <c r="A739" s="7" t="s">
        <v>83</v>
      </c>
      <c r="B739" s="7" t="s">
        <v>960</v>
      </c>
      <c r="C739" s="7" t="s">
        <v>137</v>
      </c>
      <c r="D739" s="8" t="n">
        <v>1</v>
      </c>
      <c r="E739" s="8" t="n">
        <v>0</v>
      </c>
      <c r="F739" s="8" t="n">
        <f aca="false">D739+E739</f>
        <v>1</v>
      </c>
      <c r="G739" s="23" t="n">
        <f aca="false">IF(F739=0,"n/a",D739/F739)</f>
        <v>1</v>
      </c>
    </row>
    <row r="740" customFormat="false" ht="15" hidden="false" customHeight="true" outlineLevel="0" collapsed="false">
      <c r="A740" s="7" t="s">
        <v>83</v>
      </c>
      <c r="B740" s="7" t="s">
        <v>961</v>
      </c>
      <c r="C740" s="7" t="s">
        <v>137</v>
      </c>
      <c r="D740" s="8" t="n">
        <v>1</v>
      </c>
      <c r="E740" s="8" t="n">
        <v>0</v>
      </c>
      <c r="F740" s="8" t="n">
        <f aca="false">D740+E740</f>
        <v>1</v>
      </c>
      <c r="G740" s="23" t="n">
        <f aca="false">IF(F740=0,"n/a",D740/F740)</f>
        <v>1</v>
      </c>
    </row>
    <row r="741" customFormat="false" ht="15" hidden="false" customHeight="true" outlineLevel="0" collapsed="false">
      <c r="A741" s="7" t="s">
        <v>83</v>
      </c>
      <c r="B741" s="7" t="s">
        <v>748</v>
      </c>
      <c r="C741" s="7" t="s">
        <v>137</v>
      </c>
      <c r="D741" s="8" t="n">
        <v>0</v>
      </c>
      <c r="E741" s="8" t="n">
        <v>1</v>
      </c>
      <c r="F741" s="8" t="n">
        <f aca="false">D741+E741</f>
        <v>1</v>
      </c>
      <c r="G741" s="23" t="n">
        <f aca="false">IF(F741=0,"n/a",D741/F741)</f>
        <v>0</v>
      </c>
    </row>
    <row r="742" customFormat="false" ht="15" hidden="false" customHeight="true" outlineLevel="0" collapsed="false">
      <c r="A742" s="7" t="s">
        <v>83</v>
      </c>
      <c r="B742" s="7" t="s">
        <v>804</v>
      </c>
      <c r="C742" s="7" t="s">
        <v>137</v>
      </c>
      <c r="D742" s="8" t="n">
        <v>1</v>
      </c>
      <c r="E742" s="8" t="n">
        <v>0</v>
      </c>
      <c r="F742" s="8" t="n">
        <f aca="false">D742+E742</f>
        <v>1</v>
      </c>
      <c r="G742" s="23" t="n">
        <f aca="false">IF(F742=0,"n/a",D742/F742)</f>
        <v>1</v>
      </c>
    </row>
    <row r="743" customFormat="false" ht="15" hidden="false" customHeight="true" outlineLevel="0" collapsed="false">
      <c r="A743" s="7" t="s">
        <v>83</v>
      </c>
      <c r="B743" s="7" t="s">
        <v>962</v>
      </c>
      <c r="C743" s="7" t="s">
        <v>137</v>
      </c>
      <c r="D743" s="8" t="n">
        <v>0</v>
      </c>
      <c r="E743" s="8" t="n">
        <v>1</v>
      </c>
      <c r="F743" s="8" t="n">
        <f aca="false">D743+E743</f>
        <v>1</v>
      </c>
      <c r="G743" s="23" t="n">
        <f aca="false">IF(F743=0,"n/a",D743/F743)</f>
        <v>0</v>
      </c>
    </row>
    <row r="744" customFormat="false" ht="15" hidden="false" customHeight="true" outlineLevel="0" collapsed="false">
      <c r="A744" s="7" t="s">
        <v>83</v>
      </c>
      <c r="B744" s="7" t="s">
        <v>963</v>
      </c>
      <c r="C744" s="7" t="s">
        <v>137</v>
      </c>
      <c r="D744" s="8" t="n">
        <v>0</v>
      </c>
      <c r="E744" s="8" t="n">
        <v>1</v>
      </c>
      <c r="F744" s="8" t="n">
        <f aca="false">D744+E744</f>
        <v>1</v>
      </c>
      <c r="G744" s="23" t="n">
        <f aca="false">IF(F744=0,"n/a",D744/F744)</f>
        <v>0</v>
      </c>
    </row>
    <row r="745" customFormat="false" ht="15" hidden="false" customHeight="true" outlineLevel="0" collapsed="false">
      <c r="A745" s="7" t="s">
        <v>138</v>
      </c>
      <c r="B745" s="7" t="s">
        <v>964</v>
      </c>
      <c r="C745" s="7" t="s">
        <v>117</v>
      </c>
      <c r="D745" s="8" t="n">
        <v>6</v>
      </c>
      <c r="E745" s="8" t="n">
        <v>0</v>
      </c>
      <c r="F745" s="8" t="n">
        <f aca="false">D745+E745</f>
        <v>6</v>
      </c>
      <c r="G745" s="23" t="n">
        <f aca="false">IF(F745=0,"n/a",D745/F745)</f>
        <v>1</v>
      </c>
    </row>
    <row r="746" customFormat="false" ht="15" hidden="false" customHeight="true" outlineLevel="0" collapsed="false">
      <c r="A746" s="7" t="s">
        <v>138</v>
      </c>
      <c r="B746" s="7" t="s">
        <v>965</v>
      </c>
      <c r="C746" s="7" t="s">
        <v>117</v>
      </c>
      <c r="D746" s="8" t="n">
        <v>0</v>
      </c>
      <c r="E746" s="8" t="n">
        <v>6</v>
      </c>
      <c r="F746" s="8" t="n">
        <f aca="false">D746+E746</f>
        <v>6</v>
      </c>
      <c r="G746" s="23" t="n">
        <f aca="false">IF(F746=0,"n/a",D746/F746)</f>
        <v>0</v>
      </c>
    </row>
    <row r="747" customFormat="false" ht="15" hidden="false" customHeight="true" outlineLevel="0" collapsed="false">
      <c r="A747" s="7" t="s">
        <v>138</v>
      </c>
      <c r="B747" s="7" t="s">
        <v>966</v>
      </c>
      <c r="C747" s="7" t="s">
        <v>117</v>
      </c>
      <c r="D747" s="8" t="n">
        <v>5</v>
      </c>
      <c r="E747" s="8" t="n">
        <v>0</v>
      </c>
      <c r="F747" s="8" t="n">
        <f aca="false">D747+E747</f>
        <v>5</v>
      </c>
      <c r="G747" s="23" t="n">
        <f aca="false">IF(F747=0,"n/a",D747/F747)</f>
        <v>1</v>
      </c>
    </row>
    <row r="748" customFormat="false" ht="15" hidden="false" customHeight="true" outlineLevel="0" collapsed="false">
      <c r="A748" s="7" t="s">
        <v>138</v>
      </c>
      <c r="B748" s="7" t="s">
        <v>967</v>
      </c>
      <c r="C748" s="7" t="s">
        <v>117</v>
      </c>
      <c r="D748" s="8" t="n">
        <v>3</v>
      </c>
      <c r="E748" s="8" t="n">
        <v>1</v>
      </c>
      <c r="F748" s="8" t="n">
        <f aca="false">D748+E748</f>
        <v>4</v>
      </c>
      <c r="G748" s="23" t="n">
        <f aca="false">IF(F748=0,"n/a",D748/F748)</f>
        <v>0.75</v>
      </c>
    </row>
    <row r="749" customFormat="false" ht="15" hidden="false" customHeight="true" outlineLevel="0" collapsed="false">
      <c r="A749" s="7" t="s">
        <v>138</v>
      </c>
      <c r="B749" s="7" t="s">
        <v>968</v>
      </c>
      <c r="C749" s="7" t="s">
        <v>117</v>
      </c>
      <c r="D749" s="8" t="n">
        <v>1</v>
      </c>
      <c r="E749" s="8" t="n">
        <v>1</v>
      </c>
      <c r="F749" s="8" t="n">
        <f aca="false">D749+E749</f>
        <v>2</v>
      </c>
      <c r="G749" s="23" t="n">
        <f aca="false">IF(F749=0,"n/a",D749/F749)</f>
        <v>0.5</v>
      </c>
    </row>
    <row r="750" customFormat="false" ht="15" hidden="false" customHeight="true" outlineLevel="0" collapsed="false">
      <c r="A750" s="7" t="s">
        <v>138</v>
      </c>
      <c r="B750" s="7" t="s">
        <v>969</v>
      </c>
      <c r="C750" s="7" t="s">
        <v>117</v>
      </c>
      <c r="D750" s="8" t="n">
        <v>2</v>
      </c>
      <c r="E750" s="8" t="n">
        <v>0</v>
      </c>
      <c r="F750" s="8" t="n">
        <f aca="false">D750+E750</f>
        <v>2</v>
      </c>
      <c r="G750" s="23" t="n">
        <f aca="false">IF(F750=0,"n/a",D750/F750)</f>
        <v>1</v>
      </c>
    </row>
    <row r="751" customFormat="false" ht="15" hidden="false" customHeight="true" outlineLevel="0" collapsed="false">
      <c r="A751" s="7" t="s">
        <v>138</v>
      </c>
      <c r="B751" s="7" t="s">
        <v>970</v>
      </c>
      <c r="C751" s="7" t="s">
        <v>117</v>
      </c>
      <c r="D751" s="8" t="n">
        <v>0</v>
      </c>
      <c r="E751" s="8" t="n">
        <v>1</v>
      </c>
      <c r="F751" s="8" t="n">
        <f aca="false">D751+E751</f>
        <v>1</v>
      </c>
      <c r="G751" s="23" t="n">
        <f aca="false">IF(F751=0,"n/a",D751/F751)</f>
        <v>0</v>
      </c>
    </row>
    <row r="752" customFormat="false" ht="15" hidden="false" customHeight="true" outlineLevel="0" collapsed="false">
      <c r="A752" s="7" t="s">
        <v>139</v>
      </c>
      <c r="B752" s="7" t="s">
        <v>971</v>
      </c>
      <c r="C752" s="7" t="s">
        <v>124</v>
      </c>
      <c r="D752" s="8" t="n">
        <v>4</v>
      </c>
      <c r="E752" s="8" t="n">
        <v>13</v>
      </c>
      <c r="F752" s="8" t="n">
        <f aca="false">D752+E752</f>
        <v>17</v>
      </c>
      <c r="G752" s="23" t="n">
        <f aca="false">IF(F752=0,"n/a",D752/F752)</f>
        <v>0.235294117647059</v>
      </c>
    </row>
    <row r="753" customFormat="false" ht="15" hidden="false" customHeight="true" outlineLevel="0" collapsed="false">
      <c r="A753" s="7" t="s">
        <v>139</v>
      </c>
      <c r="B753" s="7" t="s">
        <v>972</v>
      </c>
      <c r="C753" s="7" t="s">
        <v>124</v>
      </c>
      <c r="D753" s="8" t="n">
        <v>3</v>
      </c>
      <c r="E753" s="8" t="n">
        <v>1</v>
      </c>
      <c r="F753" s="8" t="n">
        <f aca="false">D753+E753</f>
        <v>4</v>
      </c>
      <c r="G753" s="23" t="n">
        <f aca="false">IF(F753=0,"n/a",D753/F753)</f>
        <v>0.75</v>
      </c>
    </row>
    <row r="754" customFormat="false" ht="15" hidden="false" customHeight="true" outlineLevel="0" collapsed="false">
      <c r="A754" s="7" t="s">
        <v>139</v>
      </c>
      <c r="B754" s="7" t="s">
        <v>859</v>
      </c>
      <c r="C754" s="7" t="s">
        <v>124</v>
      </c>
      <c r="D754" s="8" t="n">
        <v>0</v>
      </c>
      <c r="E754" s="8" t="n">
        <v>3</v>
      </c>
      <c r="F754" s="8" t="n">
        <f aca="false">D754+E754</f>
        <v>3</v>
      </c>
      <c r="G754" s="23" t="n">
        <f aca="false">IF(F754=0,"n/a",D754/F754)</f>
        <v>0</v>
      </c>
    </row>
    <row r="755" customFormat="false" ht="15" hidden="false" customHeight="true" outlineLevel="0" collapsed="false">
      <c r="A755" s="7" t="s">
        <v>139</v>
      </c>
      <c r="B755" s="7" t="s">
        <v>973</v>
      </c>
      <c r="C755" s="7" t="s">
        <v>124</v>
      </c>
      <c r="D755" s="8" t="n">
        <v>0</v>
      </c>
      <c r="E755" s="8" t="n">
        <v>3</v>
      </c>
      <c r="F755" s="8" t="n">
        <f aca="false">D755+E755</f>
        <v>3</v>
      </c>
      <c r="G755" s="23" t="n">
        <f aca="false">IF(F755=0,"n/a",D755/F755)</f>
        <v>0</v>
      </c>
    </row>
    <row r="756" customFormat="false" ht="15" hidden="false" customHeight="true" outlineLevel="0" collapsed="false">
      <c r="A756" s="7" t="s">
        <v>139</v>
      </c>
      <c r="B756" s="7" t="s">
        <v>974</v>
      </c>
      <c r="C756" s="7" t="s">
        <v>124</v>
      </c>
      <c r="D756" s="8" t="n">
        <v>1</v>
      </c>
      <c r="E756" s="8" t="n">
        <v>2</v>
      </c>
      <c r="F756" s="8" t="n">
        <f aca="false">D756+E756</f>
        <v>3</v>
      </c>
      <c r="G756" s="23" t="n">
        <f aca="false">IF(F756=0,"n/a",D756/F756)</f>
        <v>0.333333333333333</v>
      </c>
    </row>
    <row r="757" customFormat="false" ht="15" hidden="false" customHeight="true" outlineLevel="0" collapsed="false">
      <c r="A757" s="7" t="s">
        <v>139</v>
      </c>
      <c r="B757" s="7" t="s">
        <v>975</v>
      </c>
      <c r="C757" s="7" t="s">
        <v>124</v>
      </c>
      <c r="D757" s="8" t="n">
        <v>1</v>
      </c>
      <c r="E757" s="8" t="n">
        <v>1</v>
      </c>
      <c r="F757" s="8" t="n">
        <f aca="false">D757+E757</f>
        <v>2</v>
      </c>
      <c r="G757" s="23" t="n">
        <f aca="false">IF(F757=0,"n/a",D757/F757)</f>
        <v>0.5</v>
      </c>
    </row>
    <row r="758" customFormat="false" ht="15" hidden="false" customHeight="true" outlineLevel="0" collapsed="false">
      <c r="A758" s="7" t="s">
        <v>139</v>
      </c>
      <c r="B758" s="7" t="s">
        <v>976</v>
      </c>
      <c r="C758" s="7" t="s">
        <v>124</v>
      </c>
      <c r="D758" s="8" t="n">
        <v>2</v>
      </c>
      <c r="E758" s="8" t="n">
        <v>0</v>
      </c>
      <c r="F758" s="8" t="n">
        <f aca="false">D758+E758</f>
        <v>2</v>
      </c>
      <c r="G758" s="23" t="n">
        <f aca="false">IF(F758=0,"n/a",D758/F758)</f>
        <v>1</v>
      </c>
    </row>
    <row r="759" customFormat="false" ht="15" hidden="false" customHeight="true" outlineLevel="0" collapsed="false">
      <c r="A759" s="7" t="s">
        <v>139</v>
      </c>
      <c r="B759" s="7" t="s">
        <v>557</v>
      </c>
      <c r="C759" s="7" t="s">
        <v>124</v>
      </c>
      <c r="D759" s="8" t="n">
        <v>0</v>
      </c>
      <c r="E759" s="8" t="n">
        <v>1</v>
      </c>
      <c r="F759" s="8" t="n">
        <f aca="false">D759+E759</f>
        <v>1</v>
      </c>
      <c r="G759" s="23" t="n">
        <f aca="false">IF(F759=0,"n/a",D759/F759)</f>
        <v>0</v>
      </c>
    </row>
    <row r="760" customFormat="false" ht="15" hidden="false" customHeight="true" outlineLevel="0" collapsed="false">
      <c r="A760" s="7" t="s">
        <v>139</v>
      </c>
      <c r="B760" s="7" t="s">
        <v>977</v>
      </c>
      <c r="C760" s="7" t="s">
        <v>124</v>
      </c>
      <c r="D760" s="8" t="n">
        <v>0</v>
      </c>
      <c r="E760" s="8" t="n">
        <v>1</v>
      </c>
      <c r="F760" s="8" t="n">
        <f aca="false">D760+E760</f>
        <v>1</v>
      </c>
      <c r="G760" s="23" t="n">
        <f aca="false">IF(F760=0,"n/a",D760/F760)</f>
        <v>0</v>
      </c>
    </row>
    <row r="761" customFormat="false" ht="15" hidden="false" customHeight="true" outlineLevel="0" collapsed="false">
      <c r="A761" s="7" t="s">
        <v>140</v>
      </c>
      <c r="B761" s="7" t="s">
        <v>978</v>
      </c>
      <c r="C761" s="7" t="s">
        <v>107</v>
      </c>
      <c r="D761" s="8" t="n">
        <v>0</v>
      </c>
      <c r="E761" s="8" t="n">
        <v>5</v>
      </c>
      <c r="F761" s="8" t="n">
        <f aca="false">D761+E761</f>
        <v>5</v>
      </c>
      <c r="G761" s="23" t="n">
        <f aca="false">IF(F761=0,"n/a",D761/F761)</f>
        <v>0</v>
      </c>
    </row>
    <row r="762" customFormat="false" ht="15" hidden="false" customHeight="true" outlineLevel="0" collapsed="false">
      <c r="A762" s="7" t="s">
        <v>140</v>
      </c>
      <c r="B762" s="7" t="s">
        <v>615</v>
      </c>
      <c r="C762" s="7" t="s">
        <v>107</v>
      </c>
      <c r="D762" s="8" t="n">
        <v>1</v>
      </c>
      <c r="E762" s="8" t="n">
        <v>4</v>
      </c>
      <c r="F762" s="8" t="n">
        <f aca="false">D762+E762</f>
        <v>5</v>
      </c>
      <c r="G762" s="23" t="n">
        <f aca="false">IF(F762=0,"n/a",D762/F762)</f>
        <v>0.2</v>
      </c>
    </row>
    <row r="763" customFormat="false" ht="15" hidden="false" customHeight="true" outlineLevel="0" collapsed="false">
      <c r="A763" s="7" t="s">
        <v>140</v>
      </c>
      <c r="B763" s="7" t="s">
        <v>502</v>
      </c>
      <c r="C763" s="7" t="s">
        <v>107</v>
      </c>
      <c r="D763" s="8" t="n">
        <v>0</v>
      </c>
      <c r="E763" s="8" t="n">
        <v>3</v>
      </c>
      <c r="F763" s="8" t="n">
        <f aca="false">D763+E763</f>
        <v>3</v>
      </c>
      <c r="G763" s="23" t="n">
        <f aca="false">IF(F763=0,"n/a",D763/F763)</f>
        <v>0</v>
      </c>
    </row>
    <row r="764" customFormat="false" ht="15" hidden="false" customHeight="true" outlineLevel="0" collapsed="false">
      <c r="A764" s="7" t="s">
        <v>140</v>
      </c>
      <c r="B764" s="7" t="s">
        <v>979</v>
      </c>
      <c r="C764" s="7" t="s">
        <v>107</v>
      </c>
      <c r="D764" s="8" t="n">
        <v>1</v>
      </c>
      <c r="E764" s="8" t="n">
        <v>2</v>
      </c>
      <c r="F764" s="8" t="n">
        <f aca="false">D764+E764</f>
        <v>3</v>
      </c>
      <c r="G764" s="23" t="n">
        <f aca="false">IF(F764=0,"n/a",D764/F764)</f>
        <v>0.333333333333333</v>
      </c>
    </row>
    <row r="765" customFormat="false" ht="15" hidden="false" customHeight="true" outlineLevel="0" collapsed="false">
      <c r="A765" s="7" t="s">
        <v>140</v>
      </c>
      <c r="B765" s="7" t="s">
        <v>935</v>
      </c>
      <c r="C765" s="7" t="s">
        <v>107</v>
      </c>
      <c r="D765" s="8" t="n">
        <v>1</v>
      </c>
      <c r="E765" s="8" t="n">
        <v>0</v>
      </c>
      <c r="F765" s="8" t="n">
        <f aca="false">D765+E765</f>
        <v>1</v>
      </c>
      <c r="G765" s="23" t="n">
        <f aca="false">IF(F765=0,"n/a",D765/F765)</f>
        <v>1</v>
      </c>
    </row>
    <row r="766" customFormat="false" ht="15" hidden="false" customHeight="true" outlineLevel="0" collapsed="false">
      <c r="A766" s="7" t="s">
        <v>140</v>
      </c>
      <c r="B766" s="7" t="s">
        <v>698</v>
      </c>
      <c r="C766" s="7" t="s">
        <v>107</v>
      </c>
      <c r="D766" s="8" t="n">
        <v>1</v>
      </c>
      <c r="E766" s="8" t="n">
        <v>0</v>
      </c>
      <c r="F766" s="8" t="n">
        <f aca="false">D766+E766</f>
        <v>1</v>
      </c>
      <c r="G766" s="23" t="n">
        <f aca="false">IF(F766=0,"n/a",D766/F766)</f>
        <v>1</v>
      </c>
    </row>
    <row r="767" customFormat="false" ht="15" hidden="false" customHeight="true" outlineLevel="0" collapsed="false">
      <c r="A767" s="7" t="s">
        <v>140</v>
      </c>
      <c r="B767" s="7" t="s">
        <v>465</v>
      </c>
      <c r="C767" s="7" t="s">
        <v>107</v>
      </c>
      <c r="D767" s="8" t="n">
        <v>1</v>
      </c>
      <c r="E767" s="8" t="n">
        <v>0</v>
      </c>
      <c r="F767" s="8" t="n">
        <f aca="false">D767+E767</f>
        <v>1</v>
      </c>
      <c r="G767" s="23" t="n">
        <f aca="false">IF(F767=0,"n/a",D767/F767)</f>
        <v>1</v>
      </c>
    </row>
    <row r="768" customFormat="false" ht="15" hidden="false" customHeight="true" outlineLevel="0" collapsed="false">
      <c r="A768" s="7" t="s">
        <v>71</v>
      </c>
      <c r="B768" s="7" t="s">
        <v>980</v>
      </c>
      <c r="C768" s="7" t="s">
        <v>141</v>
      </c>
      <c r="D768" s="15" t="n">
        <v>0</v>
      </c>
      <c r="E768" s="15" t="n">
        <v>6</v>
      </c>
      <c r="F768" s="8" t="n">
        <f aca="false">D768+E768</f>
        <v>6</v>
      </c>
      <c r="G768" s="23" t="n">
        <f aca="false">IF(F768=0,"n/a",D768/F768)</f>
        <v>0</v>
      </c>
    </row>
    <row r="769" customFormat="false" ht="15" hidden="false" customHeight="true" outlineLevel="0" collapsed="false">
      <c r="A769" s="7" t="s">
        <v>71</v>
      </c>
      <c r="B769" s="7" t="s">
        <v>981</v>
      </c>
      <c r="C769" s="7" t="s">
        <v>141</v>
      </c>
      <c r="D769" s="8" t="n">
        <v>0</v>
      </c>
      <c r="E769" s="8" t="n">
        <v>5</v>
      </c>
      <c r="F769" s="8" t="n">
        <f aca="false">D769+E769</f>
        <v>5</v>
      </c>
      <c r="G769" s="23" t="n">
        <f aca="false">IF(F769=0,"n/a",D769/F769)</f>
        <v>0</v>
      </c>
    </row>
    <row r="770" customFormat="false" ht="15" hidden="false" customHeight="true" outlineLevel="0" collapsed="false">
      <c r="A770" s="7" t="s">
        <v>71</v>
      </c>
      <c r="B770" s="7" t="s">
        <v>982</v>
      </c>
      <c r="C770" s="7" t="s">
        <v>141</v>
      </c>
      <c r="D770" s="8" t="n">
        <v>2</v>
      </c>
      <c r="E770" s="8" t="n">
        <v>2</v>
      </c>
      <c r="F770" s="8" t="n">
        <f aca="false">D770+E770</f>
        <v>4</v>
      </c>
      <c r="G770" s="23" t="n">
        <f aca="false">IF(F770=0,"n/a",D770/F770)</f>
        <v>0.5</v>
      </c>
    </row>
    <row r="771" customFormat="false" ht="15" hidden="false" customHeight="true" outlineLevel="0" collapsed="false">
      <c r="A771" s="7" t="s">
        <v>71</v>
      </c>
      <c r="B771" s="7" t="s">
        <v>983</v>
      </c>
      <c r="C771" s="7" t="s">
        <v>141</v>
      </c>
      <c r="D771" s="8" t="n">
        <v>0</v>
      </c>
      <c r="E771" s="8" t="n">
        <v>4</v>
      </c>
      <c r="F771" s="8" t="n">
        <f aca="false">D771+E771</f>
        <v>4</v>
      </c>
      <c r="G771" s="23" t="n">
        <f aca="false">IF(F771=0,"n/a",D771/F771)</f>
        <v>0</v>
      </c>
    </row>
    <row r="772" customFormat="false" ht="15" hidden="false" customHeight="true" outlineLevel="0" collapsed="false">
      <c r="A772" s="7" t="s">
        <v>71</v>
      </c>
      <c r="B772" s="7" t="s">
        <v>984</v>
      </c>
      <c r="C772" s="7" t="s">
        <v>141</v>
      </c>
      <c r="D772" s="8" t="n">
        <v>0</v>
      </c>
      <c r="E772" s="8" t="n">
        <v>3</v>
      </c>
      <c r="F772" s="8" t="n">
        <f aca="false">D772+E772</f>
        <v>3</v>
      </c>
      <c r="G772" s="23" t="n">
        <f aca="false">IF(F772=0,"n/a",D772/F772)</f>
        <v>0</v>
      </c>
    </row>
    <row r="773" customFormat="false" ht="15" hidden="false" customHeight="true" outlineLevel="0" collapsed="false">
      <c r="A773" s="7" t="s">
        <v>71</v>
      </c>
      <c r="B773" s="7" t="s">
        <v>985</v>
      </c>
      <c r="C773" s="7" t="s">
        <v>141</v>
      </c>
      <c r="D773" s="8" t="n">
        <v>3</v>
      </c>
      <c r="E773" s="8" t="n">
        <v>0</v>
      </c>
      <c r="F773" s="8" t="n">
        <f aca="false">D773+E773</f>
        <v>3</v>
      </c>
      <c r="G773" s="23" t="n">
        <f aca="false">IF(F773=0,"n/a",D773/F773)</f>
        <v>1</v>
      </c>
    </row>
    <row r="774" customFormat="false" ht="15" hidden="false" customHeight="true" outlineLevel="0" collapsed="false">
      <c r="A774" s="7" t="s">
        <v>71</v>
      </c>
      <c r="B774" s="7" t="s">
        <v>471</v>
      </c>
      <c r="C774" s="7" t="s">
        <v>141</v>
      </c>
      <c r="D774" s="8" t="n">
        <v>0</v>
      </c>
      <c r="E774" s="8" t="n">
        <v>3</v>
      </c>
      <c r="F774" s="8" t="n">
        <f aca="false">D774+E774</f>
        <v>3</v>
      </c>
      <c r="G774" s="23" t="n">
        <f aca="false">IF(F774=0,"n/a",D774/F774)</f>
        <v>0</v>
      </c>
    </row>
    <row r="775" customFormat="false" ht="15" hidden="false" customHeight="true" outlineLevel="0" collapsed="false">
      <c r="A775" s="7" t="s">
        <v>71</v>
      </c>
      <c r="B775" s="7" t="s">
        <v>986</v>
      </c>
      <c r="C775" s="7" t="s">
        <v>141</v>
      </c>
      <c r="D775" s="8" t="n">
        <v>1</v>
      </c>
      <c r="E775" s="8" t="n">
        <v>2</v>
      </c>
      <c r="F775" s="8" t="n">
        <f aca="false">D775+E775</f>
        <v>3</v>
      </c>
      <c r="G775" s="23" t="n">
        <f aca="false">IF(F775=0,"n/a",D775/F775)</f>
        <v>0.333333333333333</v>
      </c>
    </row>
    <row r="776" customFormat="false" ht="15" hidden="false" customHeight="true" outlineLevel="0" collapsed="false">
      <c r="A776" s="7" t="s">
        <v>71</v>
      </c>
      <c r="B776" s="7" t="s">
        <v>987</v>
      </c>
      <c r="C776" s="7" t="s">
        <v>141</v>
      </c>
      <c r="D776" s="8" t="n">
        <v>1</v>
      </c>
      <c r="E776" s="8" t="n">
        <v>1</v>
      </c>
      <c r="F776" s="8" t="n">
        <f aca="false">D776+E776</f>
        <v>2</v>
      </c>
      <c r="G776" s="23" t="n">
        <f aca="false">IF(F776=0,"n/a",D776/F776)</f>
        <v>0.5</v>
      </c>
    </row>
    <row r="777" customFormat="false" ht="15" hidden="false" customHeight="true" outlineLevel="0" collapsed="false">
      <c r="A777" s="7" t="s">
        <v>71</v>
      </c>
      <c r="B777" s="7" t="s">
        <v>988</v>
      </c>
      <c r="C777" s="7" t="s">
        <v>141</v>
      </c>
      <c r="D777" s="8" t="n">
        <v>0</v>
      </c>
      <c r="E777" s="8" t="n">
        <v>2</v>
      </c>
      <c r="F777" s="8" t="n">
        <f aca="false">D777+E777</f>
        <v>2</v>
      </c>
      <c r="G777" s="23" t="n">
        <f aca="false">IF(F777=0,"n/a",D777/F777)</f>
        <v>0</v>
      </c>
    </row>
    <row r="778" customFormat="false" ht="15" hidden="false" customHeight="true" outlineLevel="0" collapsed="false">
      <c r="A778" s="7" t="s">
        <v>71</v>
      </c>
      <c r="B778" s="7" t="s">
        <v>989</v>
      </c>
      <c r="C778" s="7" t="s">
        <v>141</v>
      </c>
      <c r="D778" s="8" t="n">
        <v>0</v>
      </c>
      <c r="E778" s="8" t="n">
        <v>2</v>
      </c>
      <c r="F778" s="8" t="n">
        <f aca="false">D778+E778</f>
        <v>2</v>
      </c>
      <c r="G778" s="23" t="n">
        <f aca="false">IF(F778=0,"n/a",D778/F778)</f>
        <v>0</v>
      </c>
    </row>
    <row r="779" customFormat="false" ht="15" hidden="false" customHeight="true" outlineLevel="0" collapsed="false">
      <c r="A779" s="7" t="s">
        <v>71</v>
      </c>
      <c r="B779" s="7" t="s">
        <v>990</v>
      </c>
      <c r="C779" s="7" t="s">
        <v>141</v>
      </c>
      <c r="D779" s="8" t="n">
        <v>2</v>
      </c>
      <c r="E779" s="8" t="n">
        <v>0</v>
      </c>
      <c r="F779" s="8" t="n">
        <f aca="false">D779+E779</f>
        <v>2</v>
      </c>
      <c r="G779" s="23" t="n">
        <f aca="false">IF(F779=0,"n/a",D779/F779)</f>
        <v>1</v>
      </c>
    </row>
    <row r="780" customFormat="false" ht="15" hidden="false" customHeight="true" outlineLevel="0" collapsed="false">
      <c r="A780" s="7" t="s">
        <v>71</v>
      </c>
      <c r="B780" s="7" t="s">
        <v>831</v>
      </c>
      <c r="C780" s="7" t="s">
        <v>141</v>
      </c>
      <c r="D780" s="8" t="n">
        <v>2</v>
      </c>
      <c r="E780" s="8" t="n">
        <v>0</v>
      </c>
      <c r="F780" s="8" t="n">
        <f aca="false">D780+E780</f>
        <v>2</v>
      </c>
      <c r="G780" s="23" t="n">
        <f aca="false">IF(F780=0,"n/a",D780/F780)</f>
        <v>1</v>
      </c>
    </row>
    <row r="781" customFormat="false" ht="15" hidden="false" customHeight="true" outlineLevel="0" collapsed="false">
      <c r="A781" s="7" t="s">
        <v>71</v>
      </c>
      <c r="B781" s="7" t="s">
        <v>991</v>
      </c>
      <c r="C781" s="7" t="s">
        <v>141</v>
      </c>
      <c r="D781" s="8" t="n">
        <v>1</v>
      </c>
      <c r="E781" s="8" t="n">
        <v>0</v>
      </c>
      <c r="F781" s="8" t="n">
        <f aca="false">D781+E781</f>
        <v>1</v>
      </c>
      <c r="G781" s="23" t="n">
        <f aca="false">IF(F781=0,"n/a",D781/F781)</f>
        <v>1</v>
      </c>
    </row>
    <row r="782" customFormat="false" ht="15" hidden="false" customHeight="true" outlineLevel="0" collapsed="false">
      <c r="A782" s="7" t="s">
        <v>71</v>
      </c>
      <c r="B782" s="7" t="s">
        <v>652</v>
      </c>
      <c r="C782" s="7" t="s">
        <v>141</v>
      </c>
      <c r="D782" s="8" t="n">
        <v>0</v>
      </c>
      <c r="E782" s="8" t="n">
        <v>1</v>
      </c>
      <c r="F782" s="8" t="n">
        <f aca="false">D782+E782</f>
        <v>1</v>
      </c>
      <c r="G782" s="23" t="n">
        <f aca="false">IF(F782=0,"n/a",D782/F782)</f>
        <v>0</v>
      </c>
    </row>
    <row r="783" customFormat="false" ht="15" hidden="false" customHeight="true" outlineLevel="0" collapsed="false">
      <c r="A783" s="7" t="s">
        <v>71</v>
      </c>
      <c r="B783" s="7" t="s">
        <v>992</v>
      </c>
      <c r="C783" s="7" t="s">
        <v>141</v>
      </c>
      <c r="D783" s="8" t="n">
        <v>0</v>
      </c>
      <c r="E783" s="8" t="n">
        <v>1</v>
      </c>
      <c r="F783" s="8" t="n">
        <f aca="false">D783+E783</f>
        <v>1</v>
      </c>
      <c r="G783" s="23" t="n">
        <f aca="false">IF(F783=0,"n/a",D783/F783)</f>
        <v>0</v>
      </c>
    </row>
    <row r="784" customFormat="false" ht="15" hidden="false" customHeight="true" outlineLevel="0" collapsed="false">
      <c r="A784" s="7" t="s">
        <v>71</v>
      </c>
      <c r="B784" s="7" t="s">
        <v>993</v>
      </c>
      <c r="C784" s="7" t="s">
        <v>141</v>
      </c>
      <c r="D784" s="8" t="n">
        <v>1</v>
      </c>
      <c r="E784" s="8" t="n">
        <v>0</v>
      </c>
      <c r="F784" s="8" t="n">
        <f aca="false">D784+E784</f>
        <v>1</v>
      </c>
      <c r="G784" s="23" t="n">
        <f aca="false">IF(F784=0,"n/a",D784/F784)</f>
        <v>1</v>
      </c>
    </row>
    <row r="785" customFormat="false" ht="15" hidden="false" customHeight="true" outlineLevel="0" collapsed="false">
      <c r="A785" s="7" t="s">
        <v>71</v>
      </c>
      <c r="B785" s="7" t="s">
        <v>994</v>
      </c>
      <c r="C785" s="7" t="s">
        <v>141</v>
      </c>
      <c r="D785" s="8" t="n">
        <v>0</v>
      </c>
      <c r="E785" s="8" t="n">
        <v>1</v>
      </c>
      <c r="F785" s="8" t="n">
        <f aca="false">D785+E785</f>
        <v>1</v>
      </c>
      <c r="G785" s="23" t="n">
        <f aca="false">IF(F785=0,"n/a",D785/F785)</f>
        <v>0</v>
      </c>
    </row>
    <row r="786" customFormat="false" ht="15" hidden="false" customHeight="true" outlineLevel="0" collapsed="false">
      <c r="A786" s="7" t="s">
        <v>71</v>
      </c>
      <c r="B786" s="7" t="s">
        <v>995</v>
      </c>
      <c r="C786" s="7" t="s">
        <v>141</v>
      </c>
      <c r="D786" s="8" t="n">
        <v>0</v>
      </c>
      <c r="E786" s="8" t="n">
        <v>1</v>
      </c>
      <c r="F786" s="8" t="n">
        <f aca="false">D786+E786</f>
        <v>1</v>
      </c>
      <c r="G786" s="23" t="n">
        <f aca="false">IF(F786=0,"n/a",D786/F786)</f>
        <v>0</v>
      </c>
    </row>
    <row r="787" customFormat="false" ht="15" hidden="false" customHeight="true" outlineLevel="0" collapsed="false">
      <c r="A787" s="7" t="s">
        <v>71</v>
      </c>
      <c r="B787" s="7" t="s">
        <v>996</v>
      </c>
      <c r="C787" s="7" t="s">
        <v>141</v>
      </c>
      <c r="D787" s="8" t="n">
        <v>1</v>
      </c>
      <c r="E787" s="8" t="n">
        <v>0</v>
      </c>
      <c r="F787" s="8" t="n">
        <f aca="false">D787+E787</f>
        <v>1</v>
      </c>
      <c r="G787" s="23" t="n">
        <f aca="false">IF(F787=0,"n/a",D787/F787)</f>
        <v>1</v>
      </c>
    </row>
    <row r="788" customFormat="false" ht="15" hidden="false" customHeight="true" outlineLevel="0" collapsed="false">
      <c r="A788" s="7" t="s">
        <v>71</v>
      </c>
      <c r="B788" s="7" t="s">
        <v>997</v>
      </c>
      <c r="C788" s="7" t="s">
        <v>141</v>
      </c>
      <c r="D788" s="8" t="n">
        <v>0</v>
      </c>
      <c r="E788" s="8" t="n">
        <v>1</v>
      </c>
      <c r="F788" s="8" t="n">
        <f aca="false">D788+E788</f>
        <v>1</v>
      </c>
      <c r="G788" s="23" t="n">
        <f aca="false">IF(F788=0,"n/a",D788/F788)</f>
        <v>0</v>
      </c>
    </row>
    <row r="789" customFormat="false" ht="15" hidden="false" customHeight="true" outlineLevel="0" collapsed="false">
      <c r="A789" s="7" t="s">
        <v>71</v>
      </c>
      <c r="B789" s="7" t="s">
        <v>998</v>
      </c>
      <c r="C789" s="7" t="s">
        <v>141</v>
      </c>
      <c r="D789" s="8" t="n">
        <v>0</v>
      </c>
      <c r="E789" s="8" t="n">
        <v>1</v>
      </c>
      <c r="F789" s="8" t="n">
        <f aca="false">D789+E789</f>
        <v>1</v>
      </c>
      <c r="G789" s="23" t="n">
        <f aca="false">IF(F789=0,"n/a",D789/F789)</f>
        <v>0</v>
      </c>
    </row>
    <row r="790" customFormat="false" ht="15" hidden="false" customHeight="true" outlineLevel="0" collapsed="false">
      <c r="A790" s="7" t="s">
        <v>71</v>
      </c>
      <c r="B790" s="7" t="s">
        <v>999</v>
      </c>
      <c r="C790" s="7" t="s">
        <v>141</v>
      </c>
      <c r="D790" s="8" t="n">
        <v>0</v>
      </c>
      <c r="E790" s="8" t="n">
        <v>1</v>
      </c>
      <c r="F790" s="8" t="n">
        <f aca="false">D790+E790</f>
        <v>1</v>
      </c>
      <c r="G790" s="23" t="n">
        <f aca="false">IF(F790=0,"n/a",D790/F790)</f>
        <v>0</v>
      </c>
    </row>
    <row r="791" customFormat="false" ht="15" hidden="false" customHeight="true" outlineLevel="0" collapsed="false">
      <c r="A791" s="7" t="s">
        <v>71</v>
      </c>
      <c r="B791" s="7" t="s">
        <v>1000</v>
      </c>
      <c r="C791" s="7" t="s">
        <v>141</v>
      </c>
      <c r="D791" s="8" t="n">
        <v>0</v>
      </c>
      <c r="E791" s="8" t="n">
        <v>1</v>
      </c>
      <c r="F791" s="8" t="n">
        <f aca="false">D791+E791</f>
        <v>1</v>
      </c>
      <c r="G791" s="23" t="n">
        <f aca="false">IF(F791=0,"n/a",D791/F791)</f>
        <v>0</v>
      </c>
    </row>
    <row r="792" customFormat="false" ht="15" hidden="false" customHeight="true" outlineLevel="0" collapsed="false">
      <c r="A792" s="7" t="s">
        <v>71</v>
      </c>
      <c r="B792" s="7" t="s">
        <v>1001</v>
      </c>
      <c r="C792" s="7" t="s">
        <v>141</v>
      </c>
      <c r="D792" s="8" t="n">
        <v>1</v>
      </c>
      <c r="E792" s="8" t="n">
        <v>0</v>
      </c>
      <c r="F792" s="8" t="n">
        <f aca="false">D792+E792</f>
        <v>1</v>
      </c>
      <c r="G792" s="23" t="n">
        <f aca="false">IF(F792=0,"n/a",D792/F792)</f>
        <v>1</v>
      </c>
    </row>
    <row r="793" customFormat="false" ht="15" hidden="false" customHeight="true" outlineLevel="0" collapsed="false">
      <c r="A793" s="7" t="s">
        <v>71</v>
      </c>
      <c r="B793" s="7" t="s">
        <v>1002</v>
      </c>
      <c r="C793" s="7" t="s">
        <v>141</v>
      </c>
      <c r="D793" s="8" t="n">
        <v>1</v>
      </c>
      <c r="E793" s="8" t="n">
        <v>0</v>
      </c>
      <c r="F793" s="8" t="n">
        <f aca="false">D793+E793</f>
        <v>1</v>
      </c>
      <c r="G793" s="23" t="n">
        <f aca="false">IF(F793=0,"n/a",D793/F793)</f>
        <v>1</v>
      </c>
    </row>
    <row r="794" customFormat="false" ht="15" hidden="false" customHeight="true" outlineLevel="0" collapsed="false">
      <c r="A794" s="7" t="s">
        <v>71</v>
      </c>
      <c r="B794" s="7" t="s">
        <v>1003</v>
      </c>
      <c r="C794" s="7" t="s">
        <v>141</v>
      </c>
      <c r="D794" s="8" t="n">
        <v>0</v>
      </c>
      <c r="E794" s="8" t="n">
        <v>1</v>
      </c>
      <c r="F794" s="8" t="n">
        <f aca="false">D794+E794</f>
        <v>1</v>
      </c>
      <c r="G794" s="23" t="n">
        <f aca="false">IF(F794=0,"n/a",D794/F794)</f>
        <v>0</v>
      </c>
    </row>
    <row r="795" customFormat="false" ht="15" hidden="false" customHeight="true" outlineLevel="0" collapsed="false">
      <c r="A795" s="7" t="s">
        <v>71</v>
      </c>
      <c r="B795" s="7" t="s">
        <v>1004</v>
      </c>
      <c r="C795" s="7" t="s">
        <v>141</v>
      </c>
      <c r="D795" s="8" t="n">
        <v>0</v>
      </c>
      <c r="E795" s="8" t="n">
        <v>1</v>
      </c>
      <c r="F795" s="8" t="n">
        <f aca="false">D795+E795</f>
        <v>1</v>
      </c>
      <c r="G795" s="23" t="n">
        <f aca="false">IF(F795=0,"n/a",D795/F795)</f>
        <v>0</v>
      </c>
    </row>
    <row r="796" customFormat="false" ht="15" hidden="false" customHeight="true" outlineLevel="0" collapsed="false">
      <c r="A796" s="7" t="s">
        <v>71</v>
      </c>
      <c r="B796" s="7" t="s">
        <v>1005</v>
      </c>
      <c r="C796" s="7" t="s">
        <v>141</v>
      </c>
      <c r="D796" s="8" t="n">
        <v>0</v>
      </c>
      <c r="E796" s="8" t="n">
        <v>1</v>
      </c>
      <c r="F796" s="8" t="n">
        <f aca="false">D796+E796</f>
        <v>1</v>
      </c>
      <c r="G796" s="23" t="n">
        <f aca="false">IF(F796=0,"n/a",D796/F796)</f>
        <v>0</v>
      </c>
    </row>
    <row r="797" customFormat="false" ht="15" hidden="false" customHeight="true" outlineLevel="0" collapsed="false">
      <c r="A797" s="7" t="s">
        <v>71</v>
      </c>
      <c r="B797" s="7" t="s">
        <v>1006</v>
      </c>
      <c r="C797" s="7" t="s">
        <v>141</v>
      </c>
      <c r="D797" s="8" t="n">
        <v>0</v>
      </c>
      <c r="E797" s="8" t="n">
        <v>1</v>
      </c>
      <c r="F797" s="8" t="n">
        <f aca="false">D797+E797</f>
        <v>1</v>
      </c>
      <c r="G797" s="23" t="n">
        <f aca="false">IF(F797=0,"n/a",D797/F797)</f>
        <v>0</v>
      </c>
    </row>
    <row r="798" customFormat="false" ht="15" hidden="false" customHeight="true" outlineLevel="0" collapsed="false">
      <c r="A798" s="7" t="s">
        <v>71</v>
      </c>
      <c r="B798" s="7" t="s">
        <v>647</v>
      </c>
      <c r="C798" s="7" t="s">
        <v>141</v>
      </c>
      <c r="D798" s="8" t="n">
        <v>0</v>
      </c>
      <c r="E798" s="8" t="n">
        <v>1</v>
      </c>
      <c r="F798" s="8" t="n">
        <f aca="false">D798+E798</f>
        <v>1</v>
      </c>
      <c r="G798" s="23" t="n">
        <f aca="false">IF(F798=0,"n/a",D798/F798)</f>
        <v>0</v>
      </c>
    </row>
    <row r="799" customFormat="false" ht="15" hidden="false" customHeight="true" outlineLevel="0" collapsed="false">
      <c r="A799" s="7" t="s">
        <v>71</v>
      </c>
      <c r="B799" s="7" t="s">
        <v>1007</v>
      </c>
      <c r="C799" s="7" t="s">
        <v>141</v>
      </c>
      <c r="D799" s="8" t="n">
        <v>0</v>
      </c>
      <c r="E799" s="8" t="n">
        <v>1</v>
      </c>
      <c r="F799" s="8" t="n">
        <f aca="false">D799+E799</f>
        <v>1</v>
      </c>
      <c r="G799" s="23" t="n">
        <f aca="false">IF(F799=0,"n/a",D799/F799)</f>
        <v>0</v>
      </c>
    </row>
    <row r="800" customFormat="false" ht="15" hidden="false" customHeight="true" outlineLevel="0" collapsed="false">
      <c r="A800" s="7" t="s">
        <v>71</v>
      </c>
      <c r="B800" s="7" t="s">
        <v>1008</v>
      </c>
      <c r="C800" s="7" t="s">
        <v>141</v>
      </c>
      <c r="D800" s="8" t="n">
        <v>1</v>
      </c>
      <c r="E800" s="8" t="n">
        <v>0</v>
      </c>
      <c r="F800" s="8" t="n">
        <f aca="false">D800+E800</f>
        <v>1</v>
      </c>
      <c r="G800" s="23" t="n">
        <f aca="false">IF(F800=0,"n/a",D800/F800)</f>
        <v>1</v>
      </c>
    </row>
    <row r="801" customFormat="false" ht="15" hidden="false" customHeight="true" outlineLevel="0" collapsed="false">
      <c r="A801" s="7" t="s">
        <v>71</v>
      </c>
      <c r="B801" s="7" t="s">
        <v>1009</v>
      </c>
      <c r="C801" s="7" t="s">
        <v>141</v>
      </c>
      <c r="D801" s="8" t="n">
        <v>0</v>
      </c>
      <c r="E801" s="8" t="n">
        <v>1</v>
      </c>
      <c r="F801" s="8" t="n">
        <f aca="false">D801+E801</f>
        <v>1</v>
      </c>
      <c r="G801" s="23" t="n">
        <f aca="false">IF(F801=0,"n/a",D801/F801)</f>
        <v>0</v>
      </c>
    </row>
    <row r="802" customFormat="false" ht="15" hidden="false" customHeight="true" outlineLevel="0" collapsed="false">
      <c r="A802" s="7" t="s">
        <v>142</v>
      </c>
      <c r="B802" s="7" t="s">
        <v>1010</v>
      </c>
      <c r="C802" s="7" t="s">
        <v>124</v>
      </c>
      <c r="D802" s="8" t="n">
        <v>1</v>
      </c>
      <c r="E802" s="8" t="n">
        <v>5</v>
      </c>
      <c r="F802" s="8" t="n">
        <f aca="false">D802+E802</f>
        <v>6</v>
      </c>
      <c r="G802" s="23" t="n">
        <f aca="false">IF(F802=0,"n/a",D802/F802)</f>
        <v>0.166666666666667</v>
      </c>
    </row>
    <row r="803" customFormat="false" ht="15" hidden="false" customHeight="true" outlineLevel="0" collapsed="false">
      <c r="A803" s="7" t="s">
        <v>142</v>
      </c>
      <c r="B803" s="7" t="s">
        <v>1011</v>
      </c>
      <c r="C803" s="7" t="s">
        <v>124</v>
      </c>
      <c r="D803" s="8" t="n">
        <v>1</v>
      </c>
      <c r="E803" s="8" t="n">
        <v>0</v>
      </c>
      <c r="F803" s="8" t="n">
        <f aca="false">D803+E803</f>
        <v>1</v>
      </c>
      <c r="G803" s="23" t="n">
        <f aca="false">IF(F803=0,"n/a",D803/F803)</f>
        <v>1</v>
      </c>
    </row>
    <row r="804" customFormat="false" ht="15" hidden="false" customHeight="true" outlineLevel="0" collapsed="false">
      <c r="A804" s="7" t="s">
        <v>142</v>
      </c>
      <c r="B804" s="7" t="s">
        <v>854</v>
      </c>
      <c r="C804" s="7" t="s">
        <v>124</v>
      </c>
      <c r="D804" s="8" t="n">
        <v>0</v>
      </c>
      <c r="E804" s="8" t="n">
        <v>1</v>
      </c>
      <c r="F804" s="8" t="n">
        <f aca="false">D804+E804</f>
        <v>1</v>
      </c>
      <c r="G804" s="23" t="n">
        <f aca="false">IF(F804=0,"n/a",D804/F804)</f>
        <v>0</v>
      </c>
    </row>
    <row r="805" customFormat="false" ht="15" hidden="false" customHeight="true" outlineLevel="0" collapsed="false">
      <c r="A805" s="7" t="s">
        <v>142</v>
      </c>
      <c r="B805" s="7" t="s">
        <v>1012</v>
      </c>
      <c r="C805" s="7" t="s">
        <v>124</v>
      </c>
      <c r="D805" s="8" t="n">
        <v>0</v>
      </c>
      <c r="E805" s="8" t="n">
        <v>1</v>
      </c>
      <c r="F805" s="8" t="n">
        <f aca="false">D805+E805</f>
        <v>1</v>
      </c>
      <c r="G805" s="23" t="n">
        <f aca="false">IF(F805=0,"n/a",D805/F805)</f>
        <v>0</v>
      </c>
    </row>
    <row r="806" customFormat="false" ht="15" hidden="false" customHeight="true" outlineLevel="0" collapsed="false">
      <c r="A806" s="7" t="s">
        <v>142</v>
      </c>
      <c r="B806" s="7" t="s">
        <v>1013</v>
      </c>
      <c r="C806" s="7" t="s">
        <v>124</v>
      </c>
      <c r="D806" s="8" t="n">
        <v>0</v>
      </c>
      <c r="E806" s="8" t="n">
        <v>1</v>
      </c>
      <c r="F806" s="8" t="n">
        <f aca="false">D806+E806</f>
        <v>1</v>
      </c>
      <c r="G806" s="23" t="n">
        <f aca="false">IF(F806=0,"n/a",D806/F806)</f>
        <v>0</v>
      </c>
    </row>
    <row r="807" customFormat="false" ht="15" hidden="false" customHeight="true" outlineLevel="0" collapsed="false">
      <c r="A807" s="7" t="s">
        <v>143</v>
      </c>
      <c r="B807" s="7" t="s">
        <v>1014</v>
      </c>
      <c r="C807" s="7" t="s">
        <v>101</v>
      </c>
      <c r="D807" s="8" t="n">
        <v>0</v>
      </c>
      <c r="E807" s="8" t="n">
        <v>19</v>
      </c>
      <c r="F807" s="8" t="n">
        <f aca="false">D807+E807</f>
        <v>19</v>
      </c>
      <c r="G807" s="23" t="n">
        <f aca="false">IF(F807=0,"n/a",D807/F807)</f>
        <v>0</v>
      </c>
    </row>
    <row r="808" customFormat="false" ht="15" hidden="false" customHeight="true" outlineLevel="0" collapsed="false">
      <c r="A808" s="7" t="s">
        <v>143</v>
      </c>
      <c r="B808" s="7" t="s">
        <v>730</v>
      </c>
      <c r="C808" s="7" t="s">
        <v>101</v>
      </c>
      <c r="D808" s="8" t="n">
        <v>2</v>
      </c>
      <c r="E808" s="8" t="n">
        <v>3</v>
      </c>
      <c r="F808" s="8" t="n">
        <f aca="false">D808+E808</f>
        <v>5</v>
      </c>
      <c r="G808" s="23" t="n">
        <f aca="false">IF(F808=0,"n/a",D808/F808)</f>
        <v>0.4</v>
      </c>
    </row>
    <row r="809" customFormat="false" ht="15" hidden="false" customHeight="true" outlineLevel="0" collapsed="false">
      <c r="A809" s="7" t="s">
        <v>143</v>
      </c>
      <c r="B809" s="7" t="s">
        <v>1015</v>
      </c>
      <c r="C809" s="7" t="s">
        <v>101</v>
      </c>
      <c r="D809" s="8" t="n">
        <v>0</v>
      </c>
      <c r="E809" s="8" t="n">
        <v>4</v>
      </c>
      <c r="F809" s="8" t="n">
        <f aca="false">D809+E809</f>
        <v>4</v>
      </c>
      <c r="G809" s="23" t="n">
        <f aca="false">IF(F809=0,"n/a",D809/F809)</f>
        <v>0</v>
      </c>
    </row>
    <row r="810" customFormat="false" ht="15" hidden="false" customHeight="true" outlineLevel="0" collapsed="false">
      <c r="A810" s="7" t="s">
        <v>143</v>
      </c>
      <c r="B810" s="7" t="s">
        <v>1016</v>
      </c>
      <c r="C810" s="7" t="s">
        <v>101</v>
      </c>
      <c r="D810" s="8" t="n">
        <v>0</v>
      </c>
      <c r="E810" s="8" t="n">
        <v>2</v>
      </c>
      <c r="F810" s="8" t="n">
        <f aca="false">D810+E810</f>
        <v>2</v>
      </c>
      <c r="G810" s="23" t="n">
        <f aca="false">IF(F810=0,"n/a",D810/F810)</f>
        <v>0</v>
      </c>
    </row>
    <row r="811" customFormat="false" ht="15" hidden="false" customHeight="true" outlineLevel="0" collapsed="false">
      <c r="A811" s="7" t="s">
        <v>143</v>
      </c>
      <c r="B811" s="7" t="s">
        <v>1017</v>
      </c>
      <c r="C811" s="7" t="s">
        <v>101</v>
      </c>
      <c r="D811" s="8" t="n">
        <v>1</v>
      </c>
      <c r="E811" s="8" t="n">
        <v>0</v>
      </c>
      <c r="F811" s="8" t="n">
        <f aca="false">D811+E811</f>
        <v>1</v>
      </c>
      <c r="G811" s="23" t="n">
        <f aca="false">IF(F811=0,"n/a",D811/F811)</f>
        <v>1</v>
      </c>
    </row>
    <row r="812" customFormat="false" ht="15" hidden="false" customHeight="true" outlineLevel="0" collapsed="false">
      <c r="A812" s="7" t="s">
        <v>143</v>
      </c>
      <c r="B812" s="7" t="s">
        <v>1018</v>
      </c>
      <c r="C812" s="7" t="s">
        <v>101</v>
      </c>
      <c r="D812" s="8" t="n">
        <v>1</v>
      </c>
      <c r="E812" s="8" t="n">
        <v>0</v>
      </c>
      <c r="F812" s="8" t="n">
        <f aca="false">D812+E812</f>
        <v>1</v>
      </c>
      <c r="G812" s="23" t="n">
        <f aca="false">IF(F812=0,"n/a",D812/F812)</f>
        <v>1</v>
      </c>
    </row>
    <row r="813" customFormat="false" ht="15" hidden="false" customHeight="true" outlineLevel="0" collapsed="false">
      <c r="A813" s="7" t="s">
        <v>84</v>
      </c>
      <c r="B813" s="7" t="s">
        <v>1019</v>
      </c>
      <c r="C813" s="7" t="s">
        <v>144</v>
      </c>
      <c r="D813" s="8" t="n">
        <v>9</v>
      </c>
      <c r="E813" s="8" t="n">
        <v>18</v>
      </c>
      <c r="F813" s="8" t="n">
        <f aca="false">D813+E813</f>
        <v>27</v>
      </c>
      <c r="G813" s="23" t="n">
        <f aca="false">IF(F813=0,"n/a",D813/F813)</f>
        <v>0.333333333333333</v>
      </c>
    </row>
    <row r="814" customFormat="false" ht="15" hidden="false" customHeight="true" outlineLevel="0" collapsed="false">
      <c r="A814" s="7" t="s">
        <v>84</v>
      </c>
      <c r="B814" s="7" t="s">
        <v>797</v>
      </c>
      <c r="C814" s="7" t="s">
        <v>144</v>
      </c>
      <c r="D814" s="8" t="n">
        <v>6</v>
      </c>
      <c r="E814" s="8" t="n">
        <v>17</v>
      </c>
      <c r="F814" s="8" t="n">
        <f aca="false">D814+E814</f>
        <v>23</v>
      </c>
      <c r="G814" s="23" t="n">
        <f aca="false">IF(F814=0,"n/a",D814/F814)</f>
        <v>0.260869565217391</v>
      </c>
    </row>
    <row r="815" customFormat="false" ht="15" hidden="false" customHeight="true" outlineLevel="0" collapsed="false">
      <c r="A815" s="7" t="s">
        <v>84</v>
      </c>
      <c r="B815" s="7" t="s">
        <v>812</v>
      </c>
      <c r="C815" s="7" t="s">
        <v>144</v>
      </c>
      <c r="D815" s="8" t="n">
        <v>5</v>
      </c>
      <c r="E815" s="8" t="n">
        <v>10</v>
      </c>
      <c r="F815" s="8" t="n">
        <f aca="false">D815+E815</f>
        <v>15</v>
      </c>
      <c r="G815" s="23" t="n">
        <f aca="false">IF(F815=0,"n/a",D815/F815)</f>
        <v>0.333333333333333</v>
      </c>
    </row>
    <row r="816" customFormat="false" ht="15" hidden="false" customHeight="true" outlineLevel="0" collapsed="false">
      <c r="A816" s="7" t="s">
        <v>84</v>
      </c>
      <c r="B816" s="7" t="s">
        <v>1020</v>
      </c>
      <c r="C816" s="7" t="s">
        <v>144</v>
      </c>
      <c r="D816" s="15" t="n">
        <v>5</v>
      </c>
      <c r="E816" s="15" t="n">
        <v>4</v>
      </c>
      <c r="F816" s="8" t="n">
        <f aca="false">D816+E816</f>
        <v>9</v>
      </c>
      <c r="G816" s="23" t="n">
        <f aca="false">IF(F816=0,"n/a",D816/F816)</f>
        <v>0.555555555555556</v>
      </c>
    </row>
    <row r="817" customFormat="false" ht="15" hidden="false" customHeight="true" outlineLevel="0" collapsed="false">
      <c r="A817" s="7" t="s">
        <v>84</v>
      </c>
      <c r="B817" s="7" t="s">
        <v>1021</v>
      </c>
      <c r="C817" s="7" t="s">
        <v>144</v>
      </c>
      <c r="D817" s="8" t="n">
        <v>0</v>
      </c>
      <c r="E817" s="8" t="n">
        <v>9</v>
      </c>
      <c r="F817" s="8" t="n">
        <f aca="false">D817+E817</f>
        <v>9</v>
      </c>
      <c r="G817" s="23" t="n">
        <f aca="false">IF(F817=0,"n/a",D817/F817)</f>
        <v>0</v>
      </c>
    </row>
    <row r="818" customFormat="false" ht="15" hidden="false" customHeight="true" outlineLevel="0" collapsed="false">
      <c r="A818" s="7" t="s">
        <v>84</v>
      </c>
      <c r="B818" s="7" t="s">
        <v>626</v>
      </c>
      <c r="C818" s="7" t="s">
        <v>144</v>
      </c>
      <c r="D818" s="8" t="n">
        <v>0</v>
      </c>
      <c r="E818" s="8" t="n">
        <v>7</v>
      </c>
      <c r="F818" s="8" t="n">
        <f aca="false">D818+E818</f>
        <v>7</v>
      </c>
      <c r="G818" s="23" t="n">
        <f aca="false">IF(F818=0,"n/a",D818/F818)</f>
        <v>0</v>
      </c>
    </row>
    <row r="819" customFormat="false" ht="15" hidden="false" customHeight="true" outlineLevel="0" collapsed="false">
      <c r="A819" s="7" t="s">
        <v>84</v>
      </c>
      <c r="B819" s="7" t="s">
        <v>1022</v>
      </c>
      <c r="C819" s="7" t="s">
        <v>144</v>
      </c>
      <c r="D819" s="8" t="n">
        <v>3</v>
      </c>
      <c r="E819" s="8" t="n">
        <v>1</v>
      </c>
      <c r="F819" s="8" t="n">
        <f aca="false">D819+E819</f>
        <v>4</v>
      </c>
      <c r="G819" s="23" t="n">
        <f aca="false">IF(F819=0,"n/a",D819/F819)</f>
        <v>0.75</v>
      </c>
    </row>
    <row r="820" customFormat="false" ht="15" hidden="false" customHeight="true" outlineLevel="0" collapsed="false">
      <c r="A820" s="7" t="s">
        <v>84</v>
      </c>
      <c r="B820" s="7" t="s">
        <v>1023</v>
      </c>
      <c r="C820" s="7" t="s">
        <v>144</v>
      </c>
      <c r="D820" s="8" t="n">
        <v>1</v>
      </c>
      <c r="E820" s="8" t="n">
        <v>3</v>
      </c>
      <c r="F820" s="8" t="n">
        <f aca="false">D820+E820</f>
        <v>4</v>
      </c>
      <c r="G820" s="23" t="n">
        <f aca="false">IF(F820=0,"n/a",D820/F820)</f>
        <v>0.25</v>
      </c>
    </row>
    <row r="821" customFormat="false" ht="15" hidden="false" customHeight="true" outlineLevel="0" collapsed="false">
      <c r="A821" s="7" t="s">
        <v>84</v>
      </c>
      <c r="B821" s="7" t="s">
        <v>1024</v>
      </c>
      <c r="C821" s="7" t="s">
        <v>144</v>
      </c>
      <c r="D821" s="8" t="n">
        <v>0</v>
      </c>
      <c r="E821" s="8" t="n">
        <v>4</v>
      </c>
      <c r="F821" s="8" t="n">
        <f aca="false">D821+E821</f>
        <v>4</v>
      </c>
      <c r="G821" s="23" t="n">
        <f aca="false">IF(F821=0,"n/a",D821/F821)</f>
        <v>0</v>
      </c>
    </row>
    <row r="822" customFormat="false" ht="15" hidden="false" customHeight="true" outlineLevel="0" collapsed="false">
      <c r="A822" s="7" t="s">
        <v>84</v>
      </c>
      <c r="B822" s="7" t="s">
        <v>1025</v>
      </c>
      <c r="C822" s="7" t="s">
        <v>144</v>
      </c>
      <c r="D822" s="8" t="n">
        <v>2</v>
      </c>
      <c r="E822" s="8" t="n">
        <v>2</v>
      </c>
      <c r="F822" s="8" t="n">
        <f aca="false">D822+E822</f>
        <v>4</v>
      </c>
      <c r="G822" s="23" t="n">
        <f aca="false">IF(F822=0,"n/a",D822/F822)</f>
        <v>0.5</v>
      </c>
    </row>
    <row r="823" customFormat="false" ht="15" hidden="false" customHeight="true" outlineLevel="0" collapsed="false">
      <c r="A823" s="7" t="s">
        <v>84</v>
      </c>
      <c r="B823" s="7" t="s">
        <v>1026</v>
      </c>
      <c r="C823" s="7" t="s">
        <v>144</v>
      </c>
      <c r="D823" s="8" t="n">
        <v>0</v>
      </c>
      <c r="E823" s="8" t="n">
        <v>4</v>
      </c>
      <c r="F823" s="8" t="n">
        <f aca="false">D823+E823</f>
        <v>4</v>
      </c>
      <c r="G823" s="23" t="n">
        <f aca="false">IF(F823=0,"n/a",D823/F823)</f>
        <v>0</v>
      </c>
    </row>
    <row r="824" customFormat="false" ht="15" hidden="false" customHeight="true" outlineLevel="0" collapsed="false">
      <c r="A824" s="7" t="s">
        <v>84</v>
      </c>
      <c r="B824" s="7" t="s">
        <v>556</v>
      </c>
      <c r="C824" s="7" t="s">
        <v>144</v>
      </c>
      <c r="D824" s="8" t="n">
        <v>1</v>
      </c>
      <c r="E824" s="8" t="n">
        <v>2</v>
      </c>
      <c r="F824" s="8" t="n">
        <f aca="false">D824+E824</f>
        <v>3</v>
      </c>
      <c r="G824" s="23" t="n">
        <f aca="false">IF(F824=0,"n/a",D824/F824)</f>
        <v>0.333333333333333</v>
      </c>
    </row>
    <row r="825" customFormat="false" ht="15" hidden="false" customHeight="true" outlineLevel="0" collapsed="false">
      <c r="A825" s="7" t="s">
        <v>84</v>
      </c>
      <c r="B825" s="7" t="s">
        <v>1027</v>
      </c>
      <c r="C825" s="7" t="s">
        <v>144</v>
      </c>
      <c r="D825" s="8" t="n">
        <v>3</v>
      </c>
      <c r="E825" s="8" t="n">
        <v>0</v>
      </c>
      <c r="F825" s="8" t="n">
        <f aca="false">D825+E825</f>
        <v>3</v>
      </c>
      <c r="G825" s="23" t="n">
        <f aca="false">IF(F825=0,"n/a",D825/F825)</f>
        <v>1</v>
      </c>
    </row>
    <row r="826" customFormat="false" ht="15" hidden="false" customHeight="true" outlineLevel="0" collapsed="false">
      <c r="A826" s="7" t="s">
        <v>84</v>
      </c>
      <c r="B826" s="7" t="s">
        <v>1028</v>
      </c>
      <c r="C826" s="7" t="s">
        <v>144</v>
      </c>
      <c r="D826" s="8" t="n">
        <v>0</v>
      </c>
      <c r="E826" s="8" t="n">
        <v>3</v>
      </c>
      <c r="F826" s="8" t="n">
        <f aca="false">D826+E826</f>
        <v>3</v>
      </c>
      <c r="G826" s="23" t="n">
        <f aca="false">IF(F826=0,"n/a",D826/F826)</f>
        <v>0</v>
      </c>
    </row>
    <row r="827" customFormat="false" ht="15" hidden="false" customHeight="true" outlineLevel="0" collapsed="false">
      <c r="A827" s="7" t="s">
        <v>84</v>
      </c>
      <c r="B827" s="7" t="s">
        <v>1029</v>
      </c>
      <c r="C827" s="7" t="s">
        <v>144</v>
      </c>
      <c r="D827" s="8" t="n">
        <v>1</v>
      </c>
      <c r="E827" s="8" t="n">
        <v>2</v>
      </c>
      <c r="F827" s="8" t="n">
        <f aca="false">D827+E827</f>
        <v>3</v>
      </c>
      <c r="G827" s="23" t="n">
        <f aca="false">IF(F827=0,"n/a",D827/F827)</f>
        <v>0.333333333333333</v>
      </c>
    </row>
    <row r="828" customFormat="false" ht="15" hidden="false" customHeight="true" outlineLevel="0" collapsed="false">
      <c r="A828" s="7" t="s">
        <v>84</v>
      </c>
      <c r="B828" s="7" t="s">
        <v>1030</v>
      </c>
      <c r="C828" s="7" t="s">
        <v>144</v>
      </c>
      <c r="D828" s="8" t="n">
        <v>3</v>
      </c>
      <c r="E828" s="8" t="n">
        <v>0</v>
      </c>
      <c r="F828" s="8" t="n">
        <f aca="false">D828+E828</f>
        <v>3</v>
      </c>
      <c r="G828" s="23" t="n">
        <f aca="false">IF(F828=0,"n/a",D828/F828)</f>
        <v>1</v>
      </c>
    </row>
    <row r="829" customFormat="false" ht="15" hidden="false" customHeight="true" outlineLevel="0" collapsed="false">
      <c r="A829" s="7" t="s">
        <v>84</v>
      </c>
      <c r="B829" s="7" t="s">
        <v>1031</v>
      </c>
      <c r="C829" s="7" t="s">
        <v>144</v>
      </c>
      <c r="D829" s="8" t="n">
        <v>1</v>
      </c>
      <c r="E829" s="8" t="n">
        <v>2</v>
      </c>
      <c r="F829" s="8" t="n">
        <f aca="false">D829+E829</f>
        <v>3</v>
      </c>
      <c r="G829" s="23" t="n">
        <f aca="false">IF(F829=0,"n/a",D829/F829)</f>
        <v>0.333333333333333</v>
      </c>
    </row>
    <row r="830" customFormat="false" ht="15" hidden="false" customHeight="true" outlineLevel="0" collapsed="false">
      <c r="A830" s="7" t="s">
        <v>84</v>
      </c>
      <c r="B830" s="7" t="s">
        <v>1032</v>
      </c>
      <c r="C830" s="7" t="s">
        <v>144</v>
      </c>
      <c r="D830" s="8" t="n">
        <v>2</v>
      </c>
      <c r="E830" s="8" t="n">
        <v>1</v>
      </c>
      <c r="F830" s="8" t="n">
        <f aca="false">D830+E830</f>
        <v>3</v>
      </c>
      <c r="G830" s="23" t="n">
        <f aca="false">IF(F830=0,"n/a",D830/F830)</f>
        <v>0.666666666666667</v>
      </c>
    </row>
    <row r="831" customFormat="false" ht="15" hidden="false" customHeight="true" outlineLevel="0" collapsed="false">
      <c r="A831" s="7" t="s">
        <v>84</v>
      </c>
      <c r="B831" s="7" t="s">
        <v>1033</v>
      </c>
      <c r="C831" s="7" t="s">
        <v>144</v>
      </c>
      <c r="D831" s="8" t="n">
        <v>2</v>
      </c>
      <c r="E831" s="8" t="n">
        <v>0</v>
      </c>
      <c r="F831" s="8" t="n">
        <f aca="false">D831+E831</f>
        <v>2</v>
      </c>
      <c r="G831" s="23" t="n">
        <f aca="false">IF(F831=0,"n/a",D831/F831)</f>
        <v>1</v>
      </c>
    </row>
    <row r="832" customFormat="false" ht="15" hidden="false" customHeight="true" outlineLevel="0" collapsed="false">
      <c r="A832" s="7" t="s">
        <v>84</v>
      </c>
      <c r="B832" s="7" t="s">
        <v>1034</v>
      </c>
      <c r="C832" s="7" t="s">
        <v>144</v>
      </c>
      <c r="D832" s="8" t="n">
        <v>0</v>
      </c>
      <c r="E832" s="8" t="n">
        <v>2</v>
      </c>
      <c r="F832" s="8" t="n">
        <f aca="false">D832+E832</f>
        <v>2</v>
      </c>
      <c r="G832" s="23" t="n">
        <f aca="false">IF(F832=0,"n/a",D832/F832)</f>
        <v>0</v>
      </c>
    </row>
    <row r="833" customFormat="false" ht="15" hidden="false" customHeight="true" outlineLevel="0" collapsed="false">
      <c r="A833" s="7" t="s">
        <v>84</v>
      </c>
      <c r="B833" s="7" t="s">
        <v>1035</v>
      </c>
      <c r="C833" s="7" t="s">
        <v>144</v>
      </c>
      <c r="D833" s="8" t="n">
        <v>1</v>
      </c>
      <c r="E833" s="8" t="n">
        <v>1</v>
      </c>
      <c r="F833" s="8" t="n">
        <f aca="false">D833+E833</f>
        <v>2</v>
      </c>
      <c r="G833" s="23" t="n">
        <f aca="false">IF(F833=0,"n/a",D833/F833)</f>
        <v>0.5</v>
      </c>
    </row>
    <row r="834" customFormat="false" ht="15" hidden="false" customHeight="true" outlineLevel="0" collapsed="false">
      <c r="A834" s="7" t="s">
        <v>84</v>
      </c>
      <c r="B834" s="7" t="s">
        <v>1036</v>
      </c>
      <c r="C834" s="7" t="s">
        <v>144</v>
      </c>
      <c r="D834" s="8" t="n">
        <v>0</v>
      </c>
      <c r="E834" s="8" t="n">
        <v>2</v>
      </c>
      <c r="F834" s="8" t="n">
        <f aca="false">D834+E834</f>
        <v>2</v>
      </c>
      <c r="G834" s="23" t="n">
        <f aca="false">IF(F834=0,"n/a",D834/F834)</f>
        <v>0</v>
      </c>
    </row>
    <row r="835" customFormat="false" ht="15" hidden="false" customHeight="true" outlineLevel="0" collapsed="false">
      <c r="A835" s="7" t="s">
        <v>84</v>
      </c>
      <c r="B835" s="7" t="s">
        <v>1037</v>
      </c>
      <c r="C835" s="7" t="s">
        <v>144</v>
      </c>
      <c r="D835" s="8" t="n">
        <v>2</v>
      </c>
      <c r="E835" s="8" t="n">
        <v>0</v>
      </c>
      <c r="F835" s="8" t="n">
        <f aca="false">D835+E835</f>
        <v>2</v>
      </c>
      <c r="G835" s="23" t="n">
        <f aca="false">IF(F835=0,"n/a",D835/F835)</f>
        <v>1</v>
      </c>
    </row>
    <row r="836" customFormat="false" ht="15" hidden="false" customHeight="true" outlineLevel="0" collapsed="false">
      <c r="A836" s="7" t="s">
        <v>84</v>
      </c>
      <c r="B836" s="7" t="s">
        <v>1038</v>
      </c>
      <c r="C836" s="7" t="s">
        <v>144</v>
      </c>
      <c r="D836" s="8" t="n">
        <v>0</v>
      </c>
      <c r="E836" s="8" t="n">
        <v>2</v>
      </c>
      <c r="F836" s="8" t="n">
        <f aca="false">D836+E836</f>
        <v>2</v>
      </c>
      <c r="G836" s="23" t="n">
        <f aca="false">IF(F836=0,"n/a",D836/F836)</f>
        <v>0</v>
      </c>
    </row>
    <row r="837" customFormat="false" ht="15" hidden="false" customHeight="true" outlineLevel="0" collapsed="false">
      <c r="A837" s="7" t="s">
        <v>84</v>
      </c>
      <c r="B837" s="7" t="s">
        <v>1039</v>
      </c>
      <c r="C837" s="7" t="s">
        <v>144</v>
      </c>
      <c r="D837" s="8" t="n">
        <v>0</v>
      </c>
      <c r="E837" s="8" t="n">
        <v>2</v>
      </c>
      <c r="F837" s="8" t="n">
        <f aca="false">D837+E837</f>
        <v>2</v>
      </c>
      <c r="G837" s="23" t="n">
        <f aca="false">IF(F837=0,"n/a",D837/F837)</f>
        <v>0</v>
      </c>
    </row>
    <row r="838" customFormat="false" ht="15" hidden="false" customHeight="true" outlineLevel="0" collapsed="false">
      <c r="A838" s="7" t="s">
        <v>84</v>
      </c>
      <c r="B838" s="7" t="s">
        <v>1040</v>
      </c>
      <c r="C838" s="7" t="s">
        <v>144</v>
      </c>
      <c r="D838" s="8" t="n">
        <v>1</v>
      </c>
      <c r="E838" s="8" t="n">
        <v>1</v>
      </c>
      <c r="F838" s="8" t="n">
        <f aca="false">D838+E838</f>
        <v>2</v>
      </c>
      <c r="G838" s="23" t="n">
        <f aca="false">IF(F838=0,"n/a",D838/F838)</f>
        <v>0.5</v>
      </c>
    </row>
    <row r="839" customFormat="false" ht="15" hidden="false" customHeight="true" outlineLevel="0" collapsed="false">
      <c r="A839" s="7" t="s">
        <v>84</v>
      </c>
      <c r="B839" s="7" t="s">
        <v>1041</v>
      </c>
      <c r="C839" s="7" t="s">
        <v>144</v>
      </c>
      <c r="D839" s="8" t="n">
        <v>0</v>
      </c>
      <c r="E839" s="8" t="n">
        <v>2</v>
      </c>
      <c r="F839" s="8" t="n">
        <f aca="false">D839+E839</f>
        <v>2</v>
      </c>
      <c r="G839" s="23" t="n">
        <f aca="false">IF(F839=0,"n/a",D839/F839)</f>
        <v>0</v>
      </c>
    </row>
    <row r="840" customFormat="false" ht="15" hidden="false" customHeight="true" outlineLevel="0" collapsed="false">
      <c r="A840" s="7" t="s">
        <v>84</v>
      </c>
      <c r="B840" s="7" t="s">
        <v>1042</v>
      </c>
      <c r="C840" s="7" t="s">
        <v>144</v>
      </c>
      <c r="D840" s="8" t="n">
        <v>2</v>
      </c>
      <c r="E840" s="8" t="n">
        <v>0</v>
      </c>
      <c r="F840" s="8" t="n">
        <f aca="false">D840+E840</f>
        <v>2</v>
      </c>
      <c r="G840" s="23" t="n">
        <f aca="false">IF(F840=0,"n/a",D840/F840)</f>
        <v>1</v>
      </c>
    </row>
    <row r="841" customFormat="false" ht="15" hidden="false" customHeight="true" outlineLevel="0" collapsed="false">
      <c r="A841" s="7" t="s">
        <v>84</v>
      </c>
      <c r="B841" s="7" t="s">
        <v>1043</v>
      </c>
      <c r="C841" s="7" t="s">
        <v>144</v>
      </c>
      <c r="D841" s="8" t="n">
        <v>0</v>
      </c>
      <c r="E841" s="8" t="n">
        <v>2</v>
      </c>
      <c r="F841" s="8" t="n">
        <f aca="false">D841+E841</f>
        <v>2</v>
      </c>
      <c r="G841" s="23" t="n">
        <f aca="false">IF(F841=0,"n/a",D841/F841)</f>
        <v>0</v>
      </c>
    </row>
    <row r="842" customFormat="false" ht="15" hidden="false" customHeight="true" outlineLevel="0" collapsed="false">
      <c r="A842" s="7" t="s">
        <v>84</v>
      </c>
      <c r="B842" s="7" t="s">
        <v>1044</v>
      </c>
      <c r="C842" s="7" t="s">
        <v>144</v>
      </c>
      <c r="D842" s="8" t="n">
        <v>0</v>
      </c>
      <c r="E842" s="8" t="n">
        <v>2</v>
      </c>
      <c r="F842" s="8" t="n">
        <f aca="false">D842+E842</f>
        <v>2</v>
      </c>
      <c r="G842" s="23" t="n">
        <f aca="false">IF(F842=0,"n/a",D842/F842)</f>
        <v>0</v>
      </c>
    </row>
    <row r="843" customFormat="false" ht="15" hidden="false" customHeight="true" outlineLevel="0" collapsed="false">
      <c r="A843" s="7" t="s">
        <v>84</v>
      </c>
      <c r="B843" s="7" t="s">
        <v>1045</v>
      </c>
      <c r="C843" s="7" t="s">
        <v>144</v>
      </c>
      <c r="D843" s="8" t="n">
        <v>2</v>
      </c>
      <c r="E843" s="8" t="n">
        <v>0</v>
      </c>
      <c r="F843" s="8" t="n">
        <f aca="false">D843+E843</f>
        <v>2</v>
      </c>
      <c r="G843" s="23" t="n">
        <f aca="false">IF(F843=0,"n/a",D843/F843)</f>
        <v>1</v>
      </c>
    </row>
    <row r="844" customFormat="false" ht="15" hidden="false" customHeight="true" outlineLevel="0" collapsed="false">
      <c r="A844" s="7" t="s">
        <v>84</v>
      </c>
      <c r="B844" s="7" t="s">
        <v>1046</v>
      </c>
      <c r="C844" s="7" t="s">
        <v>144</v>
      </c>
      <c r="D844" s="8" t="n">
        <v>0</v>
      </c>
      <c r="E844" s="8" t="n">
        <v>1</v>
      </c>
      <c r="F844" s="8" t="n">
        <f aca="false">D844+E844</f>
        <v>1</v>
      </c>
      <c r="G844" s="23" t="n">
        <f aca="false">IF(F844=0,"n/a",D844/F844)</f>
        <v>0</v>
      </c>
    </row>
    <row r="845" customFormat="false" ht="15" hidden="false" customHeight="true" outlineLevel="0" collapsed="false">
      <c r="A845" s="7" t="s">
        <v>84</v>
      </c>
      <c r="B845" s="7" t="s">
        <v>296</v>
      </c>
      <c r="C845" s="7" t="s">
        <v>144</v>
      </c>
      <c r="D845" s="8" t="n">
        <v>1</v>
      </c>
      <c r="E845" s="8" t="n">
        <v>0</v>
      </c>
      <c r="F845" s="8" t="n">
        <f aca="false">D845+E845</f>
        <v>1</v>
      </c>
      <c r="G845" s="23" t="n">
        <f aca="false">IF(F845=0,"n/a",D845/F845)</f>
        <v>1</v>
      </c>
    </row>
    <row r="846" customFormat="false" ht="15" hidden="false" customHeight="true" outlineLevel="0" collapsed="false">
      <c r="A846" s="7" t="s">
        <v>84</v>
      </c>
      <c r="B846" s="7" t="s">
        <v>1047</v>
      </c>
      <c r="C846" s="7" t="s">
        <v>144</v>
      </c>
      <c r="D846" s="8" t="n">
        <v>0</v>
      </c>
      <c r="E846" s="8" t="n">
        <v>1</v>
      </c>
      <c r="F846" s="8" t="n">
        <f aca="false">D846+E846</f>
        <v>1</v>
      </c>
      <c r="G846" s="23" t="n">
        <f aca="false">IF(F846=0,"n/a",D846/F846)</f>
        <v>0</v>
      </c>
    </row>
    <row r="847" customFormat="false" ht="15" hidden="false" customHeight="true" outlineLevel="0" collapsed="false">
      <c r="A847" s="7" t="s">
        <v>84</v>
      </c>
      <c r="B847" s="7" t="s">
        <v>1048</v>
      </c>
      <c r="C847" s="7" t="s">
        <v>144</v>
      </c>
      <c r="D847" s="8" t="n">
        <v>0</v>
      </c>
      <c r="E847" s="8" t="n">
        <v>1</v>
      </c>
      <c r="F847" s="8" t="n">
        <f aca="false">D847+E847</f>
        <v>1</v>
      </c>
      <c r="G847" s="23" t="n">
        <f aca="false">IF(F847=0,"n/a",D847/F847)</f>
        <v>0</v>
      </c>
    </row>
    <row r="848" customFormat="false" ht="15" hidden="false" customHeight="true" outlineLevel="0" collapsed="false">
      <c r="A848" s="7" t="s">
        <v>84</v>
      </c>
      <c r="B848" s="7" t="s">
        <v>1049</v>
      </c>
      <c r="C848" s="7" t="s">
        <v>144</v>
      </c>
      <c r="D848" s="8" t="n">
        <v>0</v>
      </c>
      <c r="E848" s="8" t="n">
        <v>1</v>
      </c>
      <c r="F848" s="8" t="n">
        <f aca="false">D848+E848</f>
        <v>1</v>
      </c>
      <c r="G848" s="23" t="n">
        <f aca="false">IF(F848=0,"n/a",D848/F848)</f>
        <v>0</v>
      </c>
    </row>
    <row r="849" customFormat="false" ht="15" hidden="false" customHeight="true" outlineLevel="0" collapsed="false">
      <c r="A849" s="7" t="s">
        <v>84</v>
      </c>
      <c r="B849" s="7" t="s">
        <v>1050</v>
      </c>
      <c r="C849" s="7" t="s">
        <v>144</v>
      </c>
      <c r="D849" s="8" t="n">
        <v>1</v>
      </c>
      <c r="E849" s="8" t="n">
        <v>0</v>
      </c>
      <c r="F849" s="8" t="n">
        <f aca="false">D849+E849</f>
        <v>1</v>
      </c>
      <c r="G849" s="23" t="n">
        <f aca="false">IF(F849=0,"n/a",D849/F849)</f>
        <v>1</v>
      </c>
    </row>
    <row r="850" customFormat="false" ht="15" hidden="false" customHeight="true" outlineLevel="0" collapsed="false">
      <c r="A850" s="7" t="s">
        <v>84</v>
      </c>
      <c r="B850" s="7" t="s">
        <v>1051</v>
      </c>
      <c r="C850" s="7" t="s">
        <v>144</v>
      </c>
      <c r="D850" s="8" t="n">
        <v>0</v>
      </c>
      <c r="E850" s="8" t="n">
        <v>1</v>
      </c>
      <c r="F850" s="8" t="n">
        <f aca="false">D850+E850</f>
        <v>1</v>
      </c>
      <c r="G850" s="23" t="n">
        <f aca="false">IF(F850=0,"n/a",D850/F850)</f>
        <v>0</v>
      </c>
    </row>
    <row r="851" customFormat="false" ht="15" hidden="false" customHeight="true" outlineLevel="0" collapsed="false">
      <c r="A851" s="7" t="s">
        <v>84</v>
      </c>
      <c r="B851" s="7" t="s">
        <v>1052</v>
      </c>
      <c r="C851" s="7" t="s">
        <v>144</v>
      </c>
      <c r="D851" s="8" t="n">
        <v>0</v>
      </c>
      <c r="E851" s="8" t="n">
        <v>1</v>
      </c>
      <c r="F851" s="8" t="n">
        <f aca="false">D851+E851</f>
        <v>1</v>
      </c>
      <c r="G851" s="23" t="n">
        <f aca="false">IF(F851=0,"n/a",D851/F851)</f>
        <v>0</v>
      </c>
    </row>
    <row r="852" customFormat="false" ht="15" hidden="false" customHeight="true" outlineLevel="0" collapsed="false">
      <c r="A852" s="7" t="s">
        <v>84</v>
      </c>
      <c r="B852" s="7" t="s">
        <v>1053</v>
      </c>
      <c r="C852" s="7" t="s">
        <v>144</v>
      </c>
      <c r="D852" s="8" t="n">
        <v>0</v>
      </c>
      <c r="E852" s="8" t="n">
        <v>1</v>
      </c>
      <c r="F852" s="8" t="n">
        <f aca="false">D852+E852</f>
        <v>1</v>
      </c>
      <c r="G852" s="23" t="n">
        <f aca="false">IF(F852=0,"n/a",D852/F852)</f>
        <v>0</v>
      </c>
    </row>
    <row r="853" customFormat="false" ht="15" hidden="false" customHeight="true" outlineLevel="0" collapsed="false">
      <c r="A853" s="7" t="s">
        <v>84</v>
      </c>
      <c r="B853" s="7" t="s">
        <v>1054</v>
      </c>
      <c r="C853" s="7" t="s">
        <v>144</v>
      </c>
      <c r="D853" s="8" t="n">
        <v>0</v>
      </c>
      <c r="E853" s="8" t="n">
        <v>1</v>
      </c>
      <c r="F853" s="8" t="n">
        <f aca="false">D853+E853</f>
        <v>1</v>
      </c>
      <c r="G853" s="23" t="n">
        <f aca="false">IF(F853=0,"n/a",D853/F853)</f>
        <v>0</v>
      </c>
    </row>
    <row r="854" customFormat="false" ht="15" hidden="false" customHeight="true" outlineLevel="0" collapsed="false">
      <c r="A854" s="7" t="s">
        <v>84</v>
      </c>
      <c r="B854" s="7" t="s">
        <v>1055</v>
      </c>
      <c r="C854" s="7" t="s">
        <v>144</v>
      </c>
      <c r="D854" s="8" t="n">
        <v>1</v>
      </c>
      <c r="E854" s="8" t="n">
        <v>0</v>
      </c>
      <c r="F854" s="8" t="n">
        <f aca="false">D854+E854</f>
        <v>1</v>
      </c>
      <c r="G854" s="23" t="n">
        <f aca="false">IF(F854=0,"n/a",D854/F854)</f>
        <v>1</v>
      </c>
    </row>
    <row r="855" customFormat="false" ht="15" hidden="false" customHeight="true" outlineLevel="0" collapsed="false">
      <c r="A855" s="7" t="s">
        <v>84</v>
      </c>
      <c r="B855" s="7" t="s">
        <v>1056</v>
      </c>
      <c r="C855" s="7" t="s">
        <v>144</v>
      </c>
      <c r="D855" s="8" t="n">
        <v>0</v>
      </c>
      <c r="E855" s="8" t="n">
        <v>1</v>
      </c>
      <c r="F855" s="8" t="n">
        <f aca="false">D855+E855</f>
        <v>1</v>
      </c>
      <c r="G855" s="23" t="n">
        <f aca="false">IF(F855=0,"n/a",D855/F855)</f>
        <v>0</v>
      </c>
    </row>
    <row r="856" customFormat="false" ht="15" hidden="false" customHeight="true" outlineLevel="0" collapsed="false">
      <c r="A856" s="7" t="s">
        <v>84</v>
      </c>
      <c r="B856" s="7" t="s">
        <v>1057</v>
      </c>
      <c r="C856" s="7" t="s">
        <v>144</v>
      </c>
      <c r="D856" s="8" t="n">
        <v>1</v>
      </c>
      <c r="E856" s="8" t="n">
        <v>0</v>
      </c>
      <c r="F856" s="8" t="n">
        <f aca="false">D856+E856</f>
        <v>1</v>
      </c>
      <c r="G856" s="23" t="n">
        <f aca="false">IF(F856=0,"n/a",D856/F856)</f>
        <v>1</v>
      </c>
    </row>
    <row r="857" customFormat="false" ht="15" hidden="false" customHeight="true" outlineLevel="0" collapsed="false">
      <c r="A857" s="7" t="s">
        <v>84</v>
      </c>
      <c r="B857" s="7" t="s">
        <v>1058</v>
      </c>
      <c r="C857" s="7" t="s">
        <v>144</v>
      </c>
      <c r="D857" s="8" t="n">
        <v>1</v>
      </c>
      <c r="E857" s="8" t="n">
        <v>0</v>
      </c>
      <c r="F857" s="8" t="n">
        <f aca="false">D857+E857</f>
        <v>1</v>
      </c>
      <c r="G857" s="23" t="n">
        <f aca="false">IF(F857=0,"n/a",D857/F857)</f>
        <v>1</v>
      </c>
    </row>
    <row r="858" customFormat="false" ht="15" hidden="false" customHeight="true" outlineLevel="0" collapsed="false">
      <c r="A858" s="7" t="s">
        <v>84</v>
      </c>
      <c r="B858" s="7" t="s">
        <v>1059</v>
      </c>
      <c r="C858" s="7" t="s">
        <v>144</v>
      </c>
      <c r="D858" s="8" t="n">
        <v>1</v>
      </c>
      <c r="E858" s="8" t="n">
        <v>0</v>
      </c>
      <c r="F858" s="8" t="n">
        <f aca="false">D858+E858</f>
        <v>1</v>
      </c>
      <c r="G858" s="23" t="n">
        <f aca="false">IF(F858=0,"n/a",D858/F858)</f>
        <v>1</v>
      </c>
    </row>
    <row r="859" customFormat="false" ht="15" hidden="false" customHeight="true" outlineLevel="0" collapsed="false">
      <c r="A859" s="7" t="s">
        <v>84</v>
      </c>
      <c r="B859" s="7" t="s">
        <v>1060</v>
      </c>
      <c r="C859" s="7" t="s">
        <v>144</v>
      </c>
      <c r="D859" s="8" t="n">
        <v>0</v>
      </c>
      <c r="E859" s="8" t="n">
        <v>1</v>
      </c>
      <c r="F859" s="8" t="n">
        <f aca="false">D859+E859</f>
        <v>1</v>
      </c>
      <c r="G859" s="23" t="n">
        <f aca="false">IF(F859=0,"n/a",D859/F859)</f>
        <v>0</v>
      </c>
    </row>
    <row r="860" customFormat="false" ht="15" hidden="false" customHeight="true" outlineLevel="0" collapsed="false">
      <c r="A860" s="7" t="s">
        <v>84</v>
      </c>
      <c r="B860" s="7" t="s">
        <v>1061</v>
      </c>
      <c r="C860" s="7" t="s">
        <v>144</v>
      </c>
      <c r="D860" s="8" t="n">
        <v>1</v>
      </c>
      <c r="E860" s="8" t="n">
        <v>0</v>
      </c>
      <c r="F860" s="8" t="n">
        <f aca="false">D860+E860</f>
        <v>1</v>
      </c>
      <c r="G860" s="23" t="n">
        <f aca="false">IF(F860=0,"n/a",D860/F860)</f>
        <v>1</v>
      </c>
    </row>
    <row r="861" customFormat="false" ht="15" hidden="false" customHeight="true" outlineLevel="0" collapsed="false">
      <c r="A861" s="7" t="s">
        <v>84</v>
      </c>
      <c r="B861" s="7" t="s">
        <v>1062</v>
      </c>
      <c r="C861" s="7" t="s">
        <v>144</v>
      </c>
      <c r="D861" s="8" t="n">
        <v>1</v>
      </c>
      <c r="E861" s="8" t="n">
        <v>0</v>
      </c>
      <c r="F861" s="8" t="n">
        <f aca="false">D861+E861</f>
        <v>1</v>
      </c>
      <c r="G861" s="23" t="n">
        <f aca="false">IF(F861=0,"n/a",D861/F861)</f>
        <v>1</v>
      </c>
    </row>
    <row r="862" customFormat="false" ht="15" hidden="false" customHeight="true" outlineLevel="0" collapsed="false">
      <c r="A862" s="7" t="s">
        <v>84</v>
      </c>
      <c r="B862" s="7" t="s">
        <v>1063</v>
      </c>
      <c r="C862" s="7" t="s">
        <v>144</v>
      </c>
      <c r="D862" s="8" t="n">
        <v>0</v>
      </c>
      <c r="E862" s="8" t="n">
        <v>1</v>
      </c>
      <c r="F862" s="8" t="n">
        <f aca="false">D862+E862</f>
        <v>1</v>
      </c>
      <c r="G862" s="23" t="n">
        <f aca="false">IF(F862=0,"n/a",D862/F862)</f>
        <v>0</v>
      </c>
    </row>
    <row r="863" customFormat="false" ht="15" hidden="false" customHeight="true" outlineLevel="0" collapsed="false">
      <c r="A863" s="7" t="s">
        <v>84</v>
      </c>
      <c r="B863" s="7" t="s">
        <v>1064</v>
      </c>
      <c r="C863" s="7" t="s">
        <v>144</v>
      </c>
      <c r="D863" s="8" t="n">
        <v>0</v>
      </c>
      <c r="E863" s="8" t="n">
        <v>1</v>
      </c>
      <c r="F863" s="8" t="n">
        <f aca="false">D863+E863</f>
        <v>1</v>
      </c>
      <c r="G863" s="23" t="n">
        <f aca="false">IF(F863=0,"n/a",D863/F863)</f>
        <v>0</v>
      </c>
    </row>
    <row r="864" customFormat="false" ht="15" hidden="false" customHeight="true" outlineLevel="0" collapsed="false">
      <c r="A864" s="7" t="s">
        <v>84</v>
      </c>
      <c r="B864" s="7" t="s">
        <v>1065</v>
      </c>
      <c r="C864" s="7" t="s">
        <v>144</v>
      </c>
      <c r="D864" s="8" t="n">
        <v>0</v>
      </c>
      <c r="E864" s="8" t="n">
        <v>1</v>
      </c>
      <c r="F864" s="8" t="n">
        <f aca="false">D864+E864</f>
        <v>1</v>
      </c>
      <c r="G864" s="23" t="n">
        <f aca="false">IF(F864=0,"n/a",D864/F864)</f>
        <v>0</v>
      </c>
    </row>
    <row r="865" customFormat="false" ht="15" hidden="false" customHeight="true" outlineLevel="0" collapsed="false">
      <c r="A865" s="7" t="s">
        <v>84</v>
      </c>
      <c r="B865" s="7" t="s">
        <v>1066</v>
      </c>
      <c r="C865" s="7" t="s">
        <v>144</v>
      </c>
      <c r="D865" s="8" t="n">
        <v>0</v>
      </c>
      <c r="E865" s="8" t="n">
        <v>1</v>
      </c>
      <c r="F865" s="8" t="n">
        <f aca="false">D865+E865</f>
        <v>1</v>
      </c>
      <c r="G865" s="23" t="n">
        <f aca="false">IF(F865=0,"n/a",D865/F865)</f>
        <v>0</v>
      </c>
    </row>
    <row r="866" customFormat="false" ht="15" hidden="false" customHeight="true" outlineLevel="0" collapsed="false">
      <c r="A866" s="7" t="s">
        <v>84</v>
      </c>
      <c r="B866" s="7" t="s">
        <v>1067</v>
      </c>
      <c r="C866" s="7" t="s">
        <v>144</v>
      </c>
      <c r="D866" s="8" t="n">
        <v>0</v>
      </c>
      <c r="E866" s="8" t="n">
        <v>1</v>
      </c>
      <c r="F866" s="8" t="n">
        <f aca="false">D866+E866</f>
        <v>1</v>
      </c>
      <c r="G866" s="23" t="n">
        <f aca="false">IF(F866=0,"n/a",D866/F866)</f>
        <v>0</v>
      </c>
    </row>
    <row r="867" customFormat="false" ht="15" hidden="false" customHeight="true" outlineLevel="0" collapsed="false">
      <c r="A867" s="7" t="s">
        <v>84</v>
      </c>
      <c r="B867" s="7" t="s">
        <v>1068</v>
      </c>
      <c r="C867" s="7" t="s">
        <v>144</v>
      </c>
      <c r="D867" s="8" t="n">
        <v>0</v>
      </c>
      <c r="E867" s="8" t="n">
        <v>1</v>
      </c>
      <c r="F867" s="8" t="n">
        <f aca="false">D867+E867</f>
        <v>1</v>
      </c>
      <c r="G867" s="23" t="n">
        <f aca="false">IF(F867=0,"n/a",D867/F867)</f>
        <v>0</v>
      </c>
    </row>
    <row r="868" customFormat="false" ht="15" hidden="false" customHeight="true" outlineLevel="0" collapsed="false">
      <c r="A868" s="7" t="s">
        <v>84</v>
      </c>
      <c r="B868" s="7" t="s">
        <v>1069</v>
      </c>
      <c r="C868" s="7" t="s">
        <v>144</v>
      </c>
      <c r="D868" s="8" t="n">
        <v>1</v>
      </c>
      <c r="E868" s="8" t="n">
        <v>0</v>
      </c>
      <c r="F868" s="8" t="n">
        <f aca="false">D868+E868</f>
        <v>1</v>
      </c>
      <c r="G868" s="23" t="n">
        <f aca="false">IF(F868=0,"n/a",D868/F868)</f>
        <v>1</v>
      </c>
    </row>
    <row r="869" customFormat="false" ht="15" hidden="false" customHeight="true" outlineLevel="0" collapsed="false">
      <c r="A869" s="7" t="s">
        <v>84</v>
      </c>
      <c r="B869" s="7" t="s">
        <v>1070</v>
      </c>
      <c r="C869" s="7" t="s">
        <v>144</v>
      </c>
      <c r="D869" s="8" t="n">
        <v>1</v>
      </c>
      <c r="E869" s="8" t="n">
        <v>0</v>
      </c>
      <c r="F869" s="8" t="n">
        <f aca="false">D869+E869</f>
        <v>1</v>
      </c>
      <c r="G869" s="23" t="n">
        <f aca="false">IF(F869=0,"n/a",D869/F869)</f>
        <v>1</v>
      </c>
    </row>
    <row r="870" customFormat="false" ht="15" hidden="false" customHeight="true" outlineLevel="0" collapsed="false">
      <c r="A870" s="7" t="s">
        <v>84</v>
      </c>
      <c r="B870" s="7" t="s">
        <v>1071</v>
      </c>
      <c r="C870" s="7" t="s">
        <v>144</v>
      </c>
      <c r="D870" s="8" t="n">
        <v>1</v>
      </c>
      <c r="E870" s="8" t="n">
        <v>0</v>
      </c>
      <c r="F870" s="8" t="n">
        <f aca="false">D870+E870</f>
        <v>1</v>
      </c>
      <c r="G870" s="23" t="n">
        <f aca="false">IF(F870=0,"n/a",D870/F870)</f>
        <v>1</v>
      </c>
    </row>
    <row r="871" customFormat="false" ht="15" hidden="false" customHeight="true" outlineLevel="0" collapsed="false">
      <c r="A871" s="7" t="s">
        <v>84</v>
      </c>
      <c r="B871" s="7" t="s">
        <v>832</v>
      </c>
      <c r="C871" s="7" t="s">
        <v>144</v>
      </c>
      <c r="D871" s="8" t="n">
        <v>0</v>
      </c>
      <c r="E871" s="8" t="n">
        <v>1</v>
      </c>
      <c r="F871" s="8" t="n">
        <f aca="false">D871+E871</f>
        <v>1</v>
      </c>
      <c r="G871" s="23" t="n">
        <f aca="false">IF(F871=0,"n/a",D871/F871)</f>
        <v>0</v>
      </c>
    </row>
    <row r="872" customFormat="false" ht="15" hidden="false" customHeight="true" outlineLevel="0" collapsed="false">
      <c r="A872" s="7" t="s">
        <v>84</v>
      </c>
      <c r="B872" s="7" t="s">
        <v>1072</v>
      </c>
      <c r="C872" s="7" t="s">
        <v>144</v>
      </c>
      <c r="D872" s="8" t="n">
        <v>1</v>
      </c>
      <c r="E872" s="8" t="n">
        <v>0</v>
      </c>
      <c r="F872" s="8" t="n">
        <f aca="false">D872+E872</f>
        <v>1</v>
      </c>
      <c r="G872" s="23" t="n">
        <f aca="false">IF(F872=0,"n/a",D872/F872)</f>
        <v>1</v>
      </c>
    </row>
    <row r="873" customFormat="false" ht="15" hidden="false" customHeight="true" outlineLevel="0" collapsed="false">
      <c r="A873" s="7" t="s">
        <v>84</v>
      </c>
      <c r="B873" s="7" t="s">
        <v>1073</v>
      </c>
      <c r="C873" s="7" t="s">
        <v>144</v>
      </c>
      <c r="D873" s="8" t="n">
        <v>0</v>
      </c>
      <c r="E873" s="8" t="n">
        <v>1</v>
      </c>
      <c r="F873" s="8" t="n">
        <f aca="false">D873+E873</f>
        <v>1</v>
      </c>
      <c r="G873" s="23" t="n">
        <f aca="false">IF(F873=0,"n/a",D873/F873)</f>
        <v>0</v>
      </c>
    </row>
    <row r="874" customFormat="false" ht="15" hidden="false" customHeight="true" outlineLevel="0" collapsed="false">
      <c r="A874" s="7" t="s">
        <v>84</v>
      </c>
      <c r="B874" s="7" t="s">
        <v>1074</v>
      </c>
      <c r="C874" s="7" t="s">
        <v>144</v>
      </c>
      <c r="D874" s="8" t="n">
        <v>1</v>
      </c>
      <c r="E874" s="8" t="n">
        <v>0</v>
      </c>
      <c r="F874" s="8" t="n">
        <f aca="false">D874+E874</f>
        <v>1</v>
      </c>
      <c r="G874" s="23" t="n">
        <f aca="false">IF(F874=0,"n/a",D874/F874)</f>
        <v>1</v>
      </c>
    </row>
    <row r="875" customFormat="false" ht="15" hidden="false" customHeight="true" outlineLevel="0" collapsed="false">
      <c r="A875" s="7" t="s">
        <v>145</v>
      </c>
      <c r="B875" s="7" t="s">
        <v>557</v>
      </c>
      <c r="C875" s="7" t="s">
        <v>146</v>
      </c>
      <c r="D875" s="8" t="n">
        <v>10</v>
      </c>
      <c r="E875" s="8" t="n">
        <v>50</v>
      </c>
      <c r="F875" s="8" t="n">
        <f aca="false">D875+E875</f>
        <v>60</v>
      </c>
      <c r="G875" s="23" t="n">
        <f aca="false">IF(F875=0,"n/a",D875/F875)</f>
        <v>0.166666666666667</v>
      </c>
    </row>
    <row r="876" customFormat="false" ht="15" hidden="false" customHeight="true" outlineLevel="0" collapsed="false">
      <c r="A876" s="7" t="s">
        <v>145</v>
      </c>
      <c r="B876" s="7" t="s">
        <v>1075</v>
      </c>
      <c r="C876" s="7" t="s">
        <v>146</v>
      </c>
      <c r="D876" s="8" t="n">
        <v>20</v>
      </c>
      <c r="E876" s="8" t="n">
        <v>23</v>
      </c>
      <c r="F876" s="8" t="n">
        <f aca="false">D876+E876</f>
        <v>43</v>
      </c>
      <c r="G876" s="23" t="n">
        <f aca="false">IF(F876=0,"n/a",D876/F876)</f>
        <v>0.465116279069767</v>
      </c>
    </row>
    <row r="877" customFormat="false" ht="15" hidden="false" customHeight="true" outlineLevel="0" collapsed="false">
      <c r="A877" s="7" t="s">
        <v>145</v>
      </c>
      <c r="B877" s="7" t="s">
        <v>1076</v>
      </c>
      <c r="C877" s="7" t="s">
        <v>146</v>
      </c>
      <c r="D877" s="8" t="n">
        <v>3</v>
      </c>
      <c r="E877" s="8" t="n">
        <v>17</v>
      </c>
      <c r="F877" s="8" t="n">
        <f aca="false">D877+E877</f>
        <v>20</v>
      </c>
      <c r="G877" s="23" t="n">
        <f aca="false">IF(F877=0,"n/a",D877/F877)</f>
        <v>0.15</v>
      </c>
    </row>
    <row r="878" customFormat="false" ht="15" hidden="false" customHeight="true" outlineLevel="0" collapsed="false">
      <c r="A878" s="7" t="s">
        <v>145</v>
      </c>
      <c r="B878" s="7" t="s">
        <v>1077</v>
      </c>
      <c r="C878" s="7" t="s">
        <v>146</v>
      </c>
      <c r="D878" s="8" t="n">
        <v>17</v>
      </c>
      <c r="E878" s="8" t="n">
        <v>2</v>
      </c>
      <c r="F878" s="8" t="n">
        <f aca="false">D878+E878</f>
        <v>19</v>
      </c>
      <c r="G878" s="23" t="n">
        <f aca="false">IF(F878=0,"n/a",D878/F878)</f>
        <v>0.894736842105263</v>
      </c>
    </row>
    <row r="879" customFormat="false" ht="15" hidden="false" customHeight="true" outlineLevel="0" collapsed="false">
      <c r="A879" s="7" t="s">
        <v>145</v>
      </c>
      <c r="B879" s="7" t="s">
        <v>1078</v>
      </c>
      <c r="C879" s="7" t="s">
        <v>146</v>
      </c>
      <c r="D879" s="8" t="n">
        <v>0</v>
      </c>
      <c r="E879" s="8" t="n">
        <v>7</v>
      </c>
      <c r="F879" s="8" t="n">
        <f aca="false">D879+E879</f>
        <v>7</v>
      </c>
      <c r="G879" s="23" t="n">
        <f aca="false">IF(F879=0,"n/a",D879/F879)</f>
        <v>0</v>
      </c>
    </row>
    <row r="880" customFormat="false" ht="15" hidden="false" customHeight="true" outlineLevel="0" collapsed="false">
      <c r="A880" s="7" t="s">
        <v>145</v>
      </c>
      <c r="B880" s="7" t="s">
        <v>1079</v>
      </c>
      <c r="C880" s="7" t="s">
        <v>146</v>
      </c>
      <c r="D880" s="8" t="n">
        <v>6</v>
      </c>
      <c r="E880" s="8" t="n">
        <v>0</v>
      </c>
      <c r="F880" s="8" t="n">
        <f aca="false">D880+E880</f>
        <v>6</v>
      </c>
      <c r="G880" s="23" t="n">
        <f aca="false">IF(F880=0,"n/a",D880/F880)</f>
        <v>1</v>
      </c>
    </row>
    <row r="881" customFormat="false" ht="15" hidden="false" customHeight="true" outlineLevel="0" collapsed="false">
      <c r="A881" s="7" t="s">
        <v>145</v>
      </c>
      <c r="B881" s="7" t="s">
        <v>1080</v>
      </c>
      <c r="C881" s="7" t="s">
        <v>146</v>
      </c>
      <c r="D881" s="8" t="n">
        <v>0</v>
      </c>
      <c r="E881" s="8" t="n">
        <v>6</v>
      </c>
      <c r="F881" s="8" t="n">
        <f aca="false">D881+E881</f>
        <v>6</v>
      </c>
      <c r="G881" s="23" t="n">
        <f aca="false">IF(F881=0,"n/a",D881/F881)</f>
        <v>0</v>
      </c>
    </row>
    <row r="882" customFormat="false" ht="15" hidden="false" customHeight="true" outlineLevel="0" collapsed="false">
      <c r="A882" s="7" t="s">
        <v>145</v>
      </c>
      <c r="B882" s="7" t="s">
        <v>428</v>
      </c>
      <c r="C882" s="7" t="s">
        <v>146</v>
      </c>
      <c r="D882" s="8" t="n">
        <v>1</v>
      </c>
      <c r="E882" s="8" t="n">
        <v>4</v>
      </c>
      <c r="F882" s="8" t="n">
        <f aca="false">D882+E882</f>
        <v>5</v>
      </c>
      <c r="G882" s="23" t="n">
        <f aca="false">IF(F882=0,"n/a",D882/F882)</f>
        <v>0.2</v>
      </c>
    </row>
    <row r="883" customFormat="false" ht="15" hidden="false" customHeight="true" outlineLevel="0" collapsed="false">
      <c r="A883" s="7" t="s">
        <v>145</v>
      </c>
      <c r="B883" s="7" t="s">
        <v>1081</v>
      </c>
      <c r="C883" s="7" t="s">
        <v>146</v>
      </c>
      <c r="D883" s="8" t="n">
        <v>4</v>
      </c>
      <c r="E883" s="8" t="n">
        <v>0</v>
      </c>
      <c r="F883" s="8" t="n">
        <f aca="false">D883+E883</f>
        <v>4</v>
      </c>
      <c r="G883" s="23" t="n">
        <f aca="false">IF(F883=0,"n/a",D883/F883)</f>
        <v>1</v>
      </c>
    </row>
    <row r="884" customFormat="false" ht="15" hidden="false" customHeight="true" outlineLevel="0" collapsed="false">
      <c r="A884" s="7" t="s">
        <v>145</v>
      </c>
      <c r="B884" s="7" t="s">
        <v>1082</v>
      </c>
      <c r="C884" s="7" t="s">
        <v>146</v>
      </c>
      <c r="D884" s="8" t="n">
        <v>0</v>
      </c>
      <c r="E884" s="8" t="n">
        <v>4</v>
      </c>
      <c r="F884" s="8" t="n">
        <f aca="false">D884+E884</f>
        <v>4</v>
      </c>
      <c r="G884" s="23" t="n">
        <f aca="false">IF(F884=0,"n/a",D884/F884)</f>
        <v>0</v>
      </c>
    </row>
    <row r="885" customFormat="false" ht="15" hidden="false" customHeight="true" outlineLevel="0" collapsed="false">
      <c r="A885" s="7" t="s">
        <v>145</v>
      </c>
      <c r="B885" s="7" t="s">
        <v>553</v>
      </c>
      <c r="C885" s="7" t="s">
        <v>146</v>
      </c>
      <c r="D885" s="8" t="n">
        <v>4</v>
      </c>
      <c r="E885" s="8" t="n">
        <v>0</v>
      </c>
      <c r="F885" s="8" t="n">
        <f aca="false">D885+E885</f>
        <v>4</v>
      </c>
      <c r="G885" s="23" t="n">
        <f aca="false">IF(F885=0,"n/a",D885/F885)</f>
        <v>1</v>
      </c>
    </row>
    <row r="886" customFormat="false" ht="15" hidden="false" customHeight="true" outlineLevel="0" collapsed="false">
      <c r="A886" s="7" t="s">
        <v>145</v>
      </c>
      <c r="B886" s="7" t="s">
        <v>979</v>
      </c>
      <c r="C886" s="7" t="s">
        <v>146</v>
      </c>
      <c r="D886" s="8" t="n">
        <v>4</v>
      </c>
      <c r="E886" s="8" t="n">
        <v>0</v>
      </c>
      <c r="F886" s="8" t="n">
        <f aca="false">D886+E886</f>
        <v>4</v>
      </c>
      <c r="G886" s="23" t="n">
        <f aca="false">IF(F886=0,"n/a",D886/F886)</f>
        <v>1</v>
      </c>
    </row>
    <row r="887" customFormat="false" ht="15" hidden="false" customHeight="true" outlineLevel="0" collapsed="false">
      <c r="A887" s="7" t="s">
        <v>145</v>
      </c>
      <c r="B887" s="7" t="s">
        <v>1083</v>
      </c>
      <c r="C887" s="7" t="s">
        <v>146</v>
      </c>
      <c r="D887" s="8" t="n">
        <v>0</v>
      </c>
      <c r="E887" s="8" t="n">
        <v>4</v>
      </c>
      <c r="F887" s="8" t="n">
        <f aca="false">D887+E887</f>
        <v>4</v>
      </c>
      <c r="G887" s="23" t="n">
        <f aca="false">IF(F887=0,"n/a",D887/F887)</f>
        <v>0</v>
      </c>
    </row>
    <row r="888" customFormat="false" ht="15" hidden="false" customHeight="true" outlineLevel="0" collapsed="false">
      <c r="A888" s="7" t="s">
        <v>145</v>
      </c>
      <c r="B888" s="7" t="s">
        <v>1084</v>
      </c>
      <c r="C888" s="7" t="s">
        <v>146</v>
      </c>
      <c r="D888" s="8" t="n">
        <v>0</v>
      </c>
      <c r="E888" s="8" t="n">
        <v>4</v>
      </c>
      <c r="F888" s="8" t="n">
        <f aca="false">D888+E888</f>
        <v>4</v>
      </c>
      <c r="G888" s="23" t="n">
        <f aca="false">IF(F888=0,"n/a",D888/F888)</f>
        <v>0</v>
      </c>
    </row>
    <row r="889" customFormat="false" ht="15" hidden="false" customHeight="true" outlineLevel="0" collapsed="false">
      <c r="A889" s="7" t="s">
        <v>145</v>
      </c>
      <c r="B889" s="7" t="s">
        <v>1085</v>
      </c>
      <c r="C889" s="7" t="s">
        <v>146</v>
      </c>
      <c r="D889" s="8" t="n">
        <v>2</v>
      </c>
      <c r="E889" s="8" t="n">
        <v>2</v>
      </c>
      <c r="F889" s="8" t="n">
        <f aca="false">D889+E889</f>
        <v>4</v>
      </c>
      <c r="G889" s="23" t="n">
        <f aca="false">IF(F889=0,"n/a",D889/F889)</f>
        <v>0.5</v>
      </c>
    </row>
    <row r="890" customFormat="false" ht="15" hidden="false" customHeight="true" outlineLevel="0" collapsed="false">
      <c r="A890" s="7" t="s">
        <v>145</v>
      </c>
      <c r="B890" s="7" t="s">
        <v>1086</v>
      </c>
      <c r="C890" s="7" t="s">
        <v>146</v>
      </c>
      <c r="D890" s="8" t="n">
        <v>2</v>
      </c>
      <c r="E890" s="8" t="n">
        <v>1</v>
      </c>
      <c r="F890" s="8" t="n">
        <f aca="false">D890+E890</f>
        <v>3</v>
      </c>
      <c r="G890" s="23" t="n">
        <f aca="false">IF(F890=0,"n/a",D890/F890)</f>
        <v>0.666666666666667</v>
      </c>
    </row>
    <row r="891" customFormat="false" ht="15" hidden="false" customHeight="true" outlineLevel="0" collapsed="false">
      <c r="A891" s="7" t="s">
        <v>145</v>
      </c>
      <c r="B891" s="7" t="s">
        <v>1087</v>
      </c>
      <c r="C891" s="7" t="s">
        <v>146</v>
      </c>
      <c r="D891" s="8" t="n">
        <v>3</v>
      </c>
      <c r="E891" s="8" t="n">
        <v>0</v>
      </c>
      <c r="F891" s="8" t="n">
        <f aca="false">D891+E891</f>
        <v>3</v>
      </c>
      <c r="G891" s="23" t="n">
        <f aca="false">IF(F891=0,"n/a",D891/F891)</f>
        <v>1</v>
      </c>
    </row>
    <row r="892" customFormat="false" ht="15" hidden="false" customHeight="true" outlineLevel="0" collapsed="false">
      <c r="A892" s="7" t="s">
        <v>145</v>
      </c>
      <c r="B892" s="7" t="s">
        <v>904</v>
      </c>
      <c r="C892" s="7" t="s">
        <v>146</v>
      </c>
      <c r="D892" s="8" t="n">
        <v>3</v>
      </c>
      <c r="E892" s="8" t="n">
        <v>0</v>
      </c>
      <c r="F892" s="8" t="n">
        <f aca="false">D892+E892</f>
        <v>3</v>
      </c>
      <c r="G892" s="23" t="n">
        <f aca="false">IF(F892=0,"n/a",D892/F892)</f>
        <v>1</v>
      </c>
    </row>
    <row r="893" customFormat="false" ht="15" hidden="false" customHeight="true" outlineLevel="0" collapsed="false">
      <c r="A893" s="7" t="s">
        <v>145</v>
      </c>
      <c r="B893" s="7" t="s">
        <v>1088</v>
      </c>
      <c r="C893" s="7" t="s">
        <v>146</v>
      </c>
      <c r="D893" s="8" t="n">
        <v>0</v>
      </c>
      <c r="E893" s="8" t="n">
        <v>3</v>
      </c>
      <c r="F893" s="8" t="n">
        <f aca="false">D893+E893</f>
        <v>3</v>
      </c>
      <c r="G893" s="23" t="n">
        <f aca="false">IF(F893=0,"n/a",D893/F893)</f>
        <v>0</v>
      </c>
    </row>
    <row r="894" customFormat="false" ht="15" hidden="false" customHeight="true" outlineLevel="0" collapsed="false">
      <c r="A894" s="7" t="s">
        <v>145</v>
      </c>
      <c r="B894" s="7" t="s">
        <v>1089</v>
      </c>
      <c r="C894" s="7" t="s">
        <v>146</v>
      </c>
      <c r="D894" s="8" t="n">
        <v>0</v>
      </c>
      <c r="E894" s="8" t="n">
        <v>3</v>
      </c>
      <c r="F894" s="8" t="n">
        <f aca="false">D894+E894</f>
        <v>3</v>
      </c>
      <c r="G894" s="23" t="n">
        <f aca="false">IF(F894=0,"n/a",D894/F894)</f>
        <v>0</v>
      </c>
    </row>
    <row r="895" customFormat="false" ht="15" hidden="false" customHeight="true" outlineLevel="0" collapsed="false">
      <c r="A895" s="7" t="s">
        <v>145</v>
      </c>
      <c r="B895" s="7" t="s">
        <v>647</v>
      </c>
      <c r="C895" s="7" t="s">
        <v>146</v>
      </c>
      <c r="D895" s="8" t="n">
        <v>0</v>
      </c>
      <c r="E895" s="8" t="n">
        <v>3</v>
      </c>
      <c r="F895" s="8" t="n">
        <f aca="false">D895+E895</f>
        <v>3</v>
      </c>
      <c r="G895" s="23" t="n">
        <f aca="false">IF(F895=0,"n/a",D895/F895)</f>
        <v>0</v>
      </c>
    </row>
    <row r="896" customFormat="false" ht="15" hidden="false" customHeight="true" outlineLevel="0" collapsed="false">
      <c r="A896" s="7" t="s">
        <v>145</v>
      </c>
      <c r="B896" s="7" t="s">
        <v>1090</v>
      </c>
      <c r="C896" s="7" t="s">
        <v>146</v>
      </c>
      <c r="D896" s="8" t="n">
        <v>2</v>
      </c>
      <c r="E896" s="8" t="n">
        <v>1</v>
      </c>
      <c r="F896" s="8" t="n">
        <f aca="false">D896+E896</f>
        <v>3</v>
      </c>
      <c r="G896" s="23" t="n">
        <f aca="false">IF(F896=0,"n/a",D896/F896)</f>
        <v>0.666666666666667</v>
      </c>
    </row>
    <row r="897" customFormat="false" ht="15" hidden="false" customHeight="true" outlineLevel="0" collapsed="false">
      <c r="A897" s="7" t="s">
        <v>145</v>
      </c>
      <c r="B897" s="7" t="s">
        <v>1091</v>
      </c>
      <c r="C897" s="7" t="s">
        <v>146</v>
      </c>
      <c r="D897" s="8" t="n">
        <v>2</v>
      </c>
      <c r="E897" s="8" t="n">
        <v>0</v>
      </c>
      <c r="F897" s="8" t="n">
        <f aca="false">D897+E897</f>
        <v>2</v>
      </c>
      <c r="G897" s="23" t="n">
        <f aca="false">IF(F897=0,"n/a",D897/F897)</f>
        <v>1</v>
      </c>
    </row>
    <row r="898" customFormat="false" ht="15" hidden="false" customHeight="true" outlineLevel="0" collapsed="false">
      <c r="A898" s="7" t="s">
        <v>145</v>
      </c>
      <c r="B898" s="7" t="s">
        <v>1092</v>
      </c>
      <c r="C898" s="7" t="s">
        <v>146</v>
      </c>
      <c r="D898" s="8" t="n">
        <v>0</v>
      </c>
      <c r="E898" s="8" t="n">
        <v>2</v>
      </c>
      <c r="F898" s="8" t="n">
        <f aca="false">D898+E898</f>
        <v>2</v>
      </c>
      <c r="G898" s="23" t="n">
        <f aca="false">IF(F898=0,"n/a",D898/F898)</f>
        <v>0</v>
      </c>
    </row>
    <row r="899" customFormat="false" ht="15" hidden="false" customHeight="true" outlineLevel="0" collapsed="false">
      <c r="A899" s="7" t="s">
        <v>145</v>
      </c>
      <c r="B899" s="7" t="s">
        <v>1093</v>
      </c>
      <c r="C899" s="7" t="s">
        <v>146</v>
      </c>
      <c r="D899" s="8" t="n">
        <v>2</v>
      </c>
      <c r="E899" s="8" t="n">
        <v>0</v>
      </c>
      <c r="F899" s="8" t="n">
        <f aca="false">D899+E899</f>
        <v>2</v>
      </c>
      <c r="G899" s="23" t="n">
        <f aca="false">IF(F899=0,"n/a",D899/F899)</f>
        <v>1</v>
      </c>
    </row>
    <row r="900" customFormat="false" ht="15" hidden="false" customHeight="true" outlineLevel="0" collapsed="false">
      <c r="A900" s="7" t="s">
        <v>145</v>
      </c>
      <c r="B900" s="7" t="s">
        <v>1094</v>
      </c>
      <c r="C900" s="7" t="s">
        <v>146</v>
      </c>
      <c r="D900" s="8" t="n">
        <v>1</v>
      </c>
      <c r="E900" s="8" t="n">
        <v>1</v>
      </c>
      <c r="F900" s="8" t="n">
        <f aca="false">D900+E900</f>
        <v>2</v>
      </c>
      <c r="G900" s="23" t="n">
        <f aca="false">IF(F900=0,"n/a",D900/F900)</f>
        <v>0.5</v>
      </c>
    </row>
    <row r="901" customFormat="false" ht="15" hidden="false" customHeight="true" outlineLevel="0" collapsed="false">
      <c r="A901" s="7" t="s">
        <v>145</v>
      </c>
      <c r="B901" s="7" t="s">
        <v>1095</v>
      </c>
      <c r="C901" s="7" t="s">
        <v>146</v>
      </c>
      <c r="D901" s="8" t="n">
        <v>0</v>
      </c>
      <c r="E901" s="8" t="n">
        <v>2</v>
      </c>
      <c r="F901" s="8" t="n">
        <f aca="false">D901+E901</f>
        <v>2</v>
      </c>
      <c r="G901" s="23" t="n">
        <f aca="false">IF(F901=0,"n/a",D901/F901)</f>
        <v>0</v>
      </c>
    </row>
    <row r="902" customFormat="false" ht="15" hidden="false" customHeight="true" outlineLevel="0" collapsed="false">
      <c r="A902" s="7" t="s">
        <v>145</v>
      </c>
      <c r="B902" s="7" t="s">
        <v>838</v>
      </c>
      <c r="C902" s="7" t="s">
        <v>146</v>
      </c>
      <c r="D902" s="8" t="n">
        <v>2</v>
      </c>
      <c r="E902" s="8" t="n">
        <v>0</v>
      </c>
      <c r="F902" s="8" t="n">
        <f aca="false">D902+E902</f>
        <v>2</v>
      </c>
      <c r="G902" s="23" t="n">
        <f aca="false">IF(F902=0,"n/a",D902/F902)</f>
        <v>1</v>
      </c>
    </row>
    <row r="903" customFormat="false" ht="15" hidden="false" customHeight="true" outlineLevel="0" collapsed="false">
      <c r="A903" s="7" t="s">
        <v>145</v>
      </c>
      <c r="B903" s="7" t="s">
        <v>1096</v>
      </c>
      <c r="C903" s="7" t="s">
        <v>146</v>
      </c>
      <c r="D903" s="8" t="n">
        <v>0</v>
      </c>
      <c r="E903" s="8" t="n">
        <v>2</v>
      </c>
      <c r="F903" s="8" t="n">
        <f aca="false">D903+E903</f>
        <v>2</v>
      </c>
      <c r="G903" s="23" t="n">
        <f aca="false">IF(F903=0,"n/a",D903/F903)</f>
        <v>0</v>
      </c>
    </row>
    <row r="904" customFormat="false" ht="15" hidden="false" customHeight="true" outlineLevel="0" collapsed="false">
      <c r="A904" s="7" t="s">
        <v>145</v>
      </c>
      <c r="B904" s="7" t="s">
        <v>1097</v>
      </c>
      <c r="C904" s="7" t="s">
        <v>146</v>
      </c>
      <c r="D904" s="8" t="n">
        <v>0</v>
      </c>
      <c r="E904" s="8" t="n">
        <v>2</v>
      </c>
      <c r="F904" s="8" t="n">
        <f aca="false">D904+E904</f>
        <v>2</v>
      </c>
      <c r="G904" s="23" t="n">
        <f aca="false">IF(F904=0,"n/a",D904/F904)</f>
        <v>0</v>
      </c>
    </row>
    <row r="905" customFormat="false" ht="15" hidden="false" customHeight="true" outlineLevel="0" collapsed="false">
      <c r="A905" s="7" t="s">
        <v>145</v>
      </c>
      <c r="B905" s="7" t="s">
        <v>661</v>
      </c>
      <c r="C905" s="7" t="s">
        <v>146</v>
      </c>
      <c r="D905" s="8" t="n">
        <v>0</v>
      </c>
      <c r="E905" s="8" t="n">
        <v>2</v>
      </c>
      <c r="F905" s="8" t="n">
        <f aca="false">D905+E905</f>
        <v>2</v>
      </c>
      <c r="G905" s="23" t="n">
        <f aca="false">IF(F905=0,"n/a",D905/F905)</f>
        <v>0</v>
      </c>
    </row>
    <row r="906" customFormat="false" ht="15" hidden="false" customHeight="true" outlineLevel="0" collapsed="false">
      <c r="A906" s="7" t="s">
        <v>145</v>
      </c>
      <c r="B906" s="7" t="s">
        <v>1098</v>
      </c>
      <c r="C906" s="7" t="s">
        <v>146</v>
      </c>
      <c r="D906" s="8" t="n">
        <v>1</v>
      </c>
      <c r="E906" s="8" t="n">
        <v>1</v>
      </c>
      <c r="F906" s="8" t="n">
        <f aca="false">D906+E906</f>
        <v>2</v>
      </c>
      <c r="G906" s="23" t="n">
        <f aca="false">IF(F906=0,"n/a",D906/F906)</f>
        <v>0.5</v>
      </c>
    </row>
    <row r="907" customFormat="false" ht="15" hidden="false" customHeight="true" outlineLevel="0" collapsed="false">
      <c r="A907" s="7" t="s">
        <v>145</v>
      </c>
      <c r="B907" s="7" t="s">
        <v>666</v>
      </c>
      <c r="C907" s="7" t="s">
        <v>146</v>
      </c>
      <c r="D907" s="8" t="n">
        <v>2</v>
      </c>
      <c r="E907" s="8" t="n">
        <v>0</v>
      </c>
      <c r="F907" s="8" t="n">
        <f aca="false">D907+E907</f>
        <v>2</v>
      </c>
      <c r="G907" s="23" t="n">
        <f aca="false">IF(F907=0,"n/a",D907/F907)</f>
        <v>1</v>
      </c>
    </row>
    <row r="908" customFormat="false" ht="15" hidden="false" customHeight="true" outlineLevel="0" collapsed="false">
      <c r="A908" s="7" t="s">
        <v>145</v>
      </c>
      <c r="B908" s="7" t="s">
        <v>1001</v>
      </c>
      <c r="C908" s="7" t="s">
        <v>146</v>
      </c>
      <c r="D908" s="8" t="n">
        <v>2</v>
      </c>
      <c r="E908" s="8" t="n">
        <v>0</v>
      </c>
      <c r="F908" s="8" t="n">
        <f aca="false">D908+E908</f>
        <v>2</v>
      </c>
      <c r="G908" s="23" t="n">
        <f aca="false">IF(F908=0,"n/a",D908/F908)</f>
        <v>1</v>
      </c>
    </row>
    <row r="909" customFormat="false" ht="15" hidden="false" customHeight="true" outlineLevel="0" collapsed="false">
      <c r="A909" s="7" t="s">
        <v>145</v>
      </c>
      <c r="B909" s="7" t="s">
        <v>310</v>
      </c>
      <c r="C909" s="7" t="s">
        <v>146</v>
      </c>
      <c r="D909" s="8" t="n">
        <v>1</v>
      </c>
      <c r="E909" s="8" t="n">
        <v>1</v>
      </c>
      <c r="F909" s="8" t="n">
        <f aca="false">D909+E909</f>
        <v>2</v>
      </c>
      <c r="G909" s="23" t="n">
        <f aca="false">IF(F909=0,"n/a",D909/F909)</f>
        <v>0.5</v>
      </c>
    </row>
    <row r="910" customFormat="false" ht="15" hidden="false" customHeight="true" outlineLevel="0" collapsed="false">
      <c r="A910" s="7" t="s">
        <v>145</v>
      </c>
      <c r="B910" s="7" t="s">
        <v>1099</v>
      </c>
      <c r="C910" s="7" t="s">
        <v>146</v>
      </c>
      <c r="D910" s="8" t="n">
        <v>2</v>
      </c>
      <c r="E910" s="8" t="n">
        <v>0</v>
      </c>
      <c r="F910" s="8" t="n">
        <f aca="false">D910+E910</f>
        <v>2</v>
      </c>
      <c r="G910" s="23" t="n">
        <f aca="false">IF(F910=0,"n/a",D910/F910)</f>
        <v>1</v>
      </c>
    </row>
    <row r="911" customFormat="false" ht="15" hidden="false" customHeight="true" outlineLevel="0" collapsed="false">
      <c r="A911" s="7" t="s">
        <v>145</v>
      </c>
      <c r="B911" s="7" t="s">
        <v>930</v>
      </c>
      <c r="C911" s="7" t="s">
        <v>146</v>
      </c>
      <c r="D911" s="8" t="n">
        <v>2</v>
      </c>
      <c r="E911" s="8" t="n">
        <v>0</v>
      </c>
      <c r="F911" s="8" t="n">
        <f aca="false">D911+E911</f>
        <v>2</v>
      </c>
      <c r="G911" s="23" t="n">
        <f aca="false">IF(F911=0,"n/a",D911/F911)</f>
        <v>1</v>
      </c>
    </row>
    <row r="912" customFormat="false" ht="15" hidden="false" customHeight="true" outlineLevel="0" collapsed="false">
      <c r="A912" s="7" t="s">
        <v>145</v>
      </c>
      <c r="B912" s="7" t="s">
        <v>1100</v>
      </c>
      <c r="C912" s="7" t="s">
        <v>146</v>
      </c>
      <c r="D912" s="8" t="n">
        <v>0</v>
      </c>
      <c r="E912" s="8" t="n">
        <v>2</v>
      </c>
      <c r="F912" s="8" t="n">
        <f aca="false">D912+E912</f>
        <v>2</v>
      </c>
      <c r="G912" s="23" t="n">
        <f aca="false">IF(F912=0,"n/a",D912/F912)</f>
        <v>0</v>
      </c>
    </row>
    <row r="913" customFormat="false" ht="15" hidden="false" customHeight="true" outlineLevel="0" collapsed="false">
      <c r="A913" s="7" t="s">
        <v>145</v>
      </c>
      <c r="B913" s="7" t="s">
        <v>832</v>
      </c>
      <c r="C913" s="7" t="s">
        <v>146</v>
      </c>
      <c r="D913" s="8" t="n">
        <v>2</v>
      </c>
      <c r="E913" s="8" t="n">
        <v>0</v>
      </c>
      <c r="F913" s="8" t="n">
        <f aca="false">D913+E913</f>
        <v>2</v>
      </c>
      <c r="G913" s="23" t="n">
        <f aca="false">IF(F913=0,"n/a",D913/F913)</f>
        <v>1</v>
      </c>
    </row>
    <row r="914" customFormat="false" ht="15" hidden="false" customHeight="true" outlineLevel="0" collapsed="false">
      <c r="A914" s="7" t="s">
        <v>145</v>
      </c>
      <c r="B914" s="7" t="s">
        <v>1101</v>
      </c>
      <c r="C914" s="7" t="s">
        <v>146</v>
      </c>
      <c r="D914" s="8" t="n">
        <v>0</v>
      </c>
      <c r="E914" s="8" t="n">
        <v>1</v>
      </c>
      <c r="F914" s="8" t="n">
        <f aca="false">D914+E914</f>
        <v>1</v>
      </c>
      <c r="G914" s="23" t="n">
        <f aca="false">IF(F914=0,"n/a",D914/F914)</f>
        <v>0</v>
      </c>
    </row>
    <row r="915" customFormat="false" ht="15" hidden="false" customHeight="true" outlineLevel="0" collapsed="false">
      <c r="A915" s="7" t="s">
        <v>145</v>
      </c>
      <c r="B915" s="7" t="s">
        <v>1102</v>
      </c>
      <c r="C915" s="7" t="s">
        <v>146</v>
      </c>
      <c r="D915" s="8" t="n">
        <v>0</v>
      </c>
      <c r="E915" s="8" t="n">
        <v>1</v>
      </c>
      <c r="F915" s="8" t="n">
        <f aca="false">D915+E915</f>
        <v>1</v>
      </c>
      <c r="G915" s="23" t="n">
        <f aca="false">IF(F915=0,"n/a",D915/F915)</f>
        <v>0</v>
      </c>
    </row>
    <row r="916" customFormat="false" ht="15" hidden="false" customHeight="true" outlineLevel="0" collapsed="false">
      <c r="A916" s="7" t="s">
        <v>145</v>
      </c>
      <c r="B916" s="7" t="s">
        <v>1103</v>
      </c>
      <c r="C916" s="7" t="s">
        <v>146</v>
      </c>
      <c r="D916" s="8" t="n">
        <v>1</v>
      </c>
      <c r="E916" s="8" t="n">
        <v>0</v>
      </c>
      <c r="F916" s="8" t="n">
        <f aca="false">D916+E916</f>
        <v>1</v>
      </c>
      <c r="G916" s="23" t="n">
        <f aca="false">IF(F916=0,"n/a",D916/F916)</f>
        <v>1</v>
      </c>
    </row>
    <row r="917" customFormat="false" ht="15" hidden="false" customHeight="true" outlineLevel="0" collapsed="false">
      <c r="A917" s="7" t="s">
        <v>145</v>
      </c>
      <c r="B917" s="7" t="s">
        <v>1104</v>
      </c>
      <c r="C917" s="7" t="s">
        <v>146</v>
      </c>
      <c r="D917" s="8" t="n">
        <v>1</v>
      </c>
      <c r="E917" s="8" t="n">
        <v>0</v>
      </c>
      <c r="F917" s="8" t="n">
        <f aca="false">D917+E917</f>
        <v>1</v>
      </c>
      <c r="G917" s="23" t="n">
        <f aca="false">IF(F917=0,"n/a",D917/F917)</f>
        <v>1</v>
      </c>
    </row>
    <row r="918" customFormat="false" ht="15" hidden="false" customHeight="true" outlineLevel="0" collapsed="false">
      <c r="A918" s="7" t="s">
        <v>145</v>
      </c>
      <c r="B918" s="7" t="s">
        <v>502</v>
      </c>
      <c r="C918" s="7" t="s">
        <v>146</v>
      </c>
      <c r="D918" s="8" t="n">
        <v>1</v>
      </c>
      <c r="E918" s="8" t="n">
        <v>0</v>
      </c>
      <c r="F918" s="8" t="n">
        <f aca="false">D918+E918</f>
        <v>1</v>
      </c>
      <c r="G918" s="23" t="n">
        <f aca="false">IF(F918=0,"n/a",D918/F918)</f>
        <v>1</v>
      </c>
    </row>
    <row r="919" customFormat="false" ht="15" hidden="false" customHeight="true" outlineLevel="0" collapsed="false">
      <c r="A919" s="7" t="s">
        <v>145</v>
      </c>
      <c r="B919" s="7" t="s">
        <v>471</v>
      </c>
      <c r="C919" s="7" t="s">
        <v>146</v>
      </c>
      <c r="D919" s="8" t="n">
        <v>0</v>
      </c>
      <c r="E919" s="8" t="n">
        <v>1</v>
      </c>
      <c r="F919" s="8" t="n">
        <f aca="false">D919+E919</f>
        <v>1</v>
      </c>
      <c r="G919" s="23" t="n">
        <f aca="false">IF(F919=0,"n/a",D919/F919)</f>
        <v>0</v>
      </c>
    </row>
    <row r="920" customFormat="false" ht="15" hidden="false" customHeight="true" outlineLevel="0" collapsed="false">
      <c r="A920" s="7" t="s">
        <v>145</v>
      </c>
      <c r="B920" s="7" t="s">
        <v>1105</v>
      </c>
      <c r="C920" s="7" t="s">
        <v>146</v>
      </c>
      <c r="D920" s="8" t="n">
        <v>0</v>
      </c>
      <c r="E920" s="8" t="n">
        <v>1</v>
      </c>
      <c r="F920" s="8" t="n">
        <f aca="false">D920+E920</f>
        <v>1</v>
      </c>
      <c r="G920" s="23" t="n">
        <f aca="false">IF(F920=0,"n/a",D920/F920)</f>
        <v>0</v>
      </c>
    </row>
    <row r="921" customFormat="false" ht="15" hidden="false" customHeight="true" outlineLevel="0" collapsed="false">
      <c r="A921" s="7" t="s">
        <v>145</v>
      </c>
      <c r="B921" s="7" t="s">
        <v>1106</v>
      </c>
      <c r="C921" s="7" t="s">
        <v>146</v>
      </c>
      <c r="D921" s="8" t="n">
        <v>0</v>
      </c>
      <c r="E921" s="8" t="n">
        <v>1</v>
      </c>
      <c r="F921" s="8" t="n">
        <f aca="false">D921+E921</f>
        <v>1</v>
      </c>
      <c r="G921" s="23" t="n">
        <f aca="false">IF(F921=0,"n/a",D921/F921)</f>
        <v>0</v>
      </c>
    </row>
    <row r="922" customFormat="false" ht="15" hidden="false" customHeight="true" outlineLevel="0" collapsed="false">
      <c r="A922" s="7" t="s">
        <v>145</v>
      </c>
      <c r="B922" s="7" t="s">
        <v>1107</v>
      </c>
      <c r="C922" s="7" t="s">
        <v>146</v>
      </c>
      <c r="D922" s="8" t="n">
        <v>1</v>
      </c>
      <c r="E922" s="8" t="n">
        <v>0</v>
      </c>
      <c r="F922" s="8" t="n">
        <f aca="false">D922+E922</f>
        <v>1</v>
      </c>
      <c r="G922" s="23" t="n">
        <f aca="false">IF(F922=0,"n/a",D922/F922)</f>
        <v>1</v>
      </c>
    </row>
    <row r="923" customFormat="false" ht="15" hidden="false" customHeight="true" outlineLevel="0" collapsed="false">
      <c r="A923" s="7" t="s">
        <v>145</v>
      </c>
      <c r="B923" s="7" t="s">
        <v>435</v>
      </c>
      <c r="C923" s="7" t="s">
        <v>146</v>
      </c>
      <c r="D923" s="8" t="n">
        <v>1</v>
      </c>
      <c r="E923" s="8" t="n">
        <v>0</v>
      </c>
      <c r="F923" s="8" t="n">
        <f aca="false">D923+E923</f>
        <v>1</v>
      </c>
      <c r="G923" s="23" t="n">
        <f aca="false">IF(F923=0,"n/a",D923/F923)</f>
        <v>1</v>
      </c>
    </row>
    <row r="924" customFormat="false" ht="15" hidden="false" customHeight="true" outlineLevel="0" collapsed="false">
      <c r="A924" s="7" t="s">
        <v>145</v>
      </c>
      <c r="B924" s="7" t="s">
        <v>1108</v>
      </c>
      <c r="C924" s="7" t="s">
        <v>146</v>
      </c>
      <c r="D924" s="8" t="n">
        <v>0</v>
      </c>
      <c r="E924" s="8" t="n">
        <v>1</v>
      </c>
      <c r="F924" s="8" t="n">
        <f aca="false">D924+E924</f>
        <v>1</v>
      </c>
      <c r="G924" s="23" t="n">
        <f aca="false">IF(F924=0,"n/a",D924/F924)</f>
        <v>0</v>
      </c>
    </row>
    <row r="925" customFormat="false" ht="15" hidden="false" customHeight="true" outlineLevel="0" collapsed="false">
      <c r="A925" s="7" t="s">
        <v>145</v>
      </c>
      <c r="B925" s="7" t="s">
        <v>1109</v>
      </c>
      <c r="C925" s="7" t="s">
        <v>146</v>
      </c>
      <c r="D925" s="8" t="n">
        <v>0</v>
      </c>
      <c r="E925" s="8" t="n">
        <v>1</v>
      </c>
      <c r="F925" s="8" t="n">
        <f aca="false">D925+E925</f>
        <v>1</v>
      </c>
      <c r="G925" s="23" t="n">
        <f aca="false">IF(F925=0,"n/a",D925/F925)</f>
        <v>0</v>
      </c>
    </row>
    <row r="926" customFormat="false" ht="15" hidden="false" customHeight="true" outlineLevel="0" collapsed="false">
      <c r="A926" s="7" t="s">
        <v>145</v>
      </c>
      <c r="B926" s="7" t="s">
        <v>1110</v>
      </c>
      <c r="C926" s="7" t="s">
        <v>146</v>
      </c>
      <c r="D926" s="8" t="n">
        <v>0</v>
      </c>
      <c r="E926" s="8" t="n">
        <v>1</v>
      </c>
      <c r="F926" s="8" t="n">
        <f aca="false">D926+E926</f>
        <v>1</v>
      </c>
      <c r="G926" s="23" t="n">
        <f aca="false">IF(F926=0,"n/a",D926/F926)</f>
        <v>0</v>
      </c>
    </row>
    <row r="927" customFormat="false" ht="15" hidden="false" customHeight="true" outlineLevel="0" collapsed="false">
      <c r="A927" s="7" t="s">
        <v>145</v>
      </c>
      <c r="B927" s="7" t="s">
        <v>946</v>
      </c>
      <c r="C927" s="7" t="s">
        <v>146</v>
      </c>
      <c r="D927" s="8" t="n">
        <v>0</v>
      </c>
      <c r="E927" s="8" t="n">
        <v>1</v>
      </c>
      <c r="F927" s="8" t="n">
        <f aca="false">D927+E927</f>
        <v>1</v>
      </c>
      <c r="G927" s="23" t="n">
        <f aca="false">IF(F927=0,"n/a",D927/F927)</f>
        <v>0</v>
      </c>
    </row>
    <row r="928" customFormat="false" ht="15" hidden="false" customHeight="true" outlineLevel="0" collapsed="false">
      <c r="A928" s="7" t="s">
        <v>145</v>
      </c>
      <c r="B928" s="7" t="s">
        <v>1111</v>
      </c>
      <c r="C928" s="7" t="s">
        <v>146</v>
      </c>
      <c r="D928" s="8" t="n">
        <v>1</v>
      </c>
      <c r="E928" s="8" t="n">
        <v>0</v>
      </c>
      <c r="F928" s="8" t="n">
        <f aca="false">D928+E928</f>
        <v>1</v>
      </c>
      <c r="G928" s="23" t="n">
        <f aca="false">IF(F928=0,"n/a",D928/F928)</f>
        <v>1</v>
      </c>
    </row>
    <row r="929" customFormat="false" ht="15" hidden="false" customHeight="true" outlineLevel="0" collapsed="false">
      <c r="A929" s="7" t="s">
        <v>145</v>
      </c>
      <c r="B929" s="7" t="s">
        <v>1112</v>
      </c>
      <c r="C929" s="7" t="s">
        <v>146</v>
      </c>
      <c r="D929" s="8" t="n">
        <v>1</v>
      </c>
      <c r="E929" s="8" t="n">
        <v>0</v>
      </c>
      <c r="F929" s="8" t="n">
        <f aca="false">D929+E929</f>
        <v>1</v>
      </c>
      <c r="G929" s="23" t="n">
        <f aca="false">IF(F929=0,"n/a",D929/F929)</f>
        <v>1</v>
      </c>
    </row>
    <row r="930" customFormat="false" ht="15" hidden="false" customHeight="true" outlineLevel="0" collapsed="false">
      <c r="A930" s="7" t="s">
        <v>145</v>
      </c>
      <c r="B930" s="7" t="s">
        <v>1113</v>
      </c>
      <c r="C930" s="7" t="s">
        <v>146</v>
      </c>
      <c r="D930" s="8" t="n">
        <v>0</v>
      </c>
      <c r="E930" s="8" t="n">
        <v>1</v>
      </c>
      <c r="F930" s="8" t="n">
        <f aca="false">D930+E930</f>
        <v>1</v>
      </c>
      <c r="G930" s="23" t="n">
        <f aca="false">IF(F930=0,"n/a",D930/F930)</f>
        <v>0</v>
      </c>
    </row>
    <row r="931" customFormat="false" ht="15" hidden="false" customHeight="true" outlineLevel="0" collapsed="false">
      <c r="A931" s="7" t="s">
        <v>145</v>
      </c>
      <c r="B931" s="7" t="s">
        <v>1114</v>
      </c>
      <c r="C931" s="7" t="s">
        <v>146</v>
      </c>
      <c r="D931" s="8" t="n">
        <v>0</v>
      </c>
      <c r="E931" s="8" t="n">
        <v>1</v>
      </c>
      <c r="F931" s="8" t="n">
        <f aca="false">D931+E931</f>
        <v>1</v>
      </c>
      <c r="G931" s="23" t="n">
        <f aca="false">IF(F931=0,"n/a",D931/F931)</f>
        <v>0</v>
      </c>
    </row>
    <row r="932" customFormat="false" ht="15" hidden="false" customHeight="true" outlineLevel="0" collapsed="false">
      <c r="A932" s="7" t="s">
        <v>145</v>
      </c>
      <c r="B932" s="7" t="s">
        <v>1115</v>
      </c>
      <c r="C932" s="7" t="s">
        <v>146</v>
      </c>
      <c r="D932" s="8" t="n">
        <v>1</v>
      </c>
      <c r="E932" s="8" t="n">
        <v>0</v>
      </c>
      <c r="F932" s="8" t="n">
        <f aca="false">D932+E932</f>
        <v>1</v>
      </c>
      <c r="G932" s="23" t="n">
        <f aca="false">IF(F932=0,"n/a",D932/F932)</f>
        <v>1</v>
      </c>
    </row>
    <row r="933" customFormat="false" ht="15" hidden="false" customHeight="true" outlineLevel="0" collapsed="false">
      <c r="A933" s="7" t="s">
        <v>147</v>
      </c>
      <c r="B933" s="7" t="s">
        <v>1116</v>
      </c>
      <c r="C933" s="7" t="s">
        <v>124</v>
      </c>
      <c r="D933" s="8" t="n">
        <v>0</v>
      </c>
      <c r="E933" s="8" t="n">
        <v>12</v>
      </c>
      <c r="F933" s="8" t="n">
        <f aca="false">D933+E933</f>
        <v>12</v>
      </c>
      <c r="G933" s="23" t="n">
        <f aca="false">IF(F933=0,"n/a",D933/F933)</f>
        <v>0</v>
      </c>
    </row>
    <row r="934" customFormat="false" ht="15" hidden="false" customHeight="true" outlineLevel="0" collapsed="false">
      <c r="A934" s="7" t="s">
        <v>147</v>
      </c>
      <c r="B934" s="7" t="s">
        <v>1117</v>
      </c>
      <c r="C934" s="7" t="s">
        <v>124</v>
      </c>
      <c r="D934" s="8" t="n">
        <v>3</v>
      </c>
      <c r="E934" s="8" t="n">
        <v>9</v>
      </c>
      <c r="F934" s="8" t="n">
        <f aca="false">D934+E934</f>
        <v>12</v>
      </c>
      <c r="G934" s="23" t="n">
        <f aca="false">IF(F934=0,"n/a",D934/F934)</f>
        <v>0.25</v>
      </c>
    </row>
    <row r="935" customFormat="false" ht="15" hidden="false" customHeight="true" outlineLevel="0" collapsed="false">
      <c r="A935" s="7" t="s">
        <v>147</v>
      </c>
      <c r="B935" s="7" t="s">
        <v>1118</v>
      </c>
      <c r="C935" s="7" t="s">
        <v>124</v>
      </c>
      <c r="D935" s="8" t="n">
        <v>2</v>
      </c>
      <c r="E935" s="8" t="n">
        <v>1</v>
      </c>
      <c r="F935" s="8" t="n">
        <f aca="false">D935+E935</f>
        <v>3</v>
      </c>
      <c r="G935" s="23" t="n">
        <f aca="false">IF(F935=0,"n/a",D935/F935)</f>
        <v>0.666666666666667</v>
      </c>
    </row>
    <row r="936" customFormat="false" ht="15" hidden="false" customHeight="true" outlineLevel="0" collapsed="false">
      <c r="A936" s="7" t="s">
        <v>147</v>
      </c>
      <c r="B936" s="7" t="s">
        <v>1119</v>
      </c>
      <c r="C936" s="7" t="s">
        <v>124</v>
      </c>
      <c r="D936" s="8" t="n">
        <v>3</v>
      </c>
      <c r="E936" s="8" t="n">
        <v>0</v>
      </c>
      <c r="F936" s="8" t="n">
        <f aca="false">D936+E936</f>
        <v>3</v>
      </c>
      <c r="G936" s="23" t="n">
        <f aca="false">IF(F936=0,"n/a",D936/F936)</f>
        <v>1</v>
      </c>
    </row>
    <row r="937" customFormat="false" ht="15" hidden="false" customHeight="true" outlineLevel="0" collapsed="false">
      <c r="A937" s="7" t="s">
        <v>147</v>
      </c>
      <c r="B937" s="7" t="s">
        <v>1120</v>
      </c>
      <c r="C937" s="7" t="s">
        <v>124</v>
      </c>
      <c r="D937" s="8" t="n">
        <v>0</v>
      </c>
      <c r="E937" s="8" t="n">
        <v>2</v>
      </c>
      <c r="F937" s="8" t="n">
        <f aca="false">D937+E937</f>
        <v>2</v>
      </c>
      <c r="G937" s="23" t="n">
        <f aca="false">IF(F937=0,"n/a",D937/F937)</f>
        <v>0</v>
      </c>
    </row>
    <row r="938" customFormat="false" ht="15" hidden="false" customHeight="true" outlineLevel="0" collapsed="false">
      <c r="A938" s="7" t="s">
        <v>147</v>
      </c>
      <c r="B938" s="7" t="s">
        <v>1121</v>
      </c>
      <c r="C938" s="7" t="s">
        <v>124</v>
      </c>
      <c r="D938" s="8" t="n">
        <v>1</v>
      </c>
      <c r="E938" s="8" t="n">
        <v>1</v>
      </c>
      <c r="F938" s="8" t="n">
        <f aca="false">D938+E938</f>
        <v>2</v>
      </c>
      <c r="G938" s="23" t="n">
        <f aca="false">IF(F938=0,"n/a",D938/F938)</f>
        <v>0.5</v>
      </c>
    </row>
    <row r="939" customFormat="false" ht="15" hidden="false" customHeight="true" outlineLevel="0" collapsed="false">
      <c r="A939" s="7" t="s">
        <v>147</v>
      </c>
      <c r="B939" s="7" t="s">
        <v>846</v>
      </c>
      <c r="C939" s="7" t="s">
        <v>124</v>
      </c>
      <c r="D939" s="8" t="n">
        <v>1</v>
      </c>
      <c r="E939" s="8" t="n">
        <v>0</v>
      </c>
      <c r="F939" s="8" t="n">
        <f aca="false">D939+E939</f>
        <v>1</v>
      </c>
      <c r="G939" s="23" t="n">
        <f aca="false">IF(F939=0,"n/a",D939/F939)</f>
        <v>1</v>
      </c>
    </row>
    <row r="940" customFormat="false" ht="15" hidden="false" customHeight="true" outlineLevel="0" collapsed="false">
      <c r="A940" s="7" t="s">
        <v>147</v>
      </c>
      <c r="B940" s="7" t="s">
        <v>1122</v>
      </c>
      <c r="C940" s="7" t="s">
        <v>124</v>
      </c>
      <c r="D940" s="8" t="n">
        <v>0</v>
      </c>
      <c r="E940" s="8" t="n">
        <v>1</v>
      </c>
      <c r="F940" s="8" t="n">
        <f aca="false">D940+E940</f>
        <v>1</v>
      </c>
      <c r="G940" s="23" t="n">
        <f aca="false">IF(F940=0,"n/a",D940/F940)</f>
        <v>0</v>
      </c>
    </row>
    <row r="941" customFormat="false" ht="15" hidden="false" customHeight="true" outlineLevel="0" collapsed="false">
      <c r="A941" s="7" t="s">
        <v>147</v>
      </c>
      <c r="B941" s="7" t="s">
        <v>1123</v>
      </c>
      <c r="C941" s="7" t="s">
        <v>124</v>
      </c>
      <c r="D941" s="8" t="n">
        <v>1</v>
      </c>
      <c r="E941" s="8" t="n">
        <v>0</v>
      </c>
      <c r="F941" s="8" t="n">
        <f aca="false">D941+E941</f>
        <v>1</v>
      </c>
      <c r="G941" s="23" t="n">
        <f aca="false">IF(F941=0,"n/a",D941/F941)</f>
        <v>1</v>
      </c>
    </row>
    <row r="942" customFormat="false" ht="15" hidden="false" customHeight="true" outlineLevel="0" collapsed="false">
      <c r="A942" s="7" t="s">
        <v>147</v>
      </c>
      <c r="B942" s="7" t="s">
        <v>1124</v>
      </c>
      <c r="C942" s="7" t="s">
        <v>124</v>
      </c>
      <c r="D942" s="8" t="n">
        <v>1</v>
      </c>
      <c r="E942" s="8" t="n">
        <v>0</v>
      </c>
      <c r="F942" s="8" t="n">
        <f aca="false">D942+E942</f>
        <v>1</v>
      </c>
      <c r="G942" s="23" t="n">
        <f aca="false">IF(F942=0,"n/a",D942/F942)</f>
        <v>1</v>
      </c>
    </row>
    <row r="943" customFormat="false" ht="15" hidden="false" customHeight="true" outlineLevel="0" collapsed="false">
      <c r="A943" s="7" t="s">
        <v>147</v>
      </c>
      <c r="B943" s="7" t="s">
        <v>1125</v>
      </c>
      <c r="C943" s="7" t="s">
        <v>124</v>
      </c>
      <c r="D943" s="8" t="n">
        <v>1</v>
      </c>
      <c r="E943" s="8" t="n">
        <v>0</v>
      </c>
      <c r="F943" s="8" t="n">
        <f aca="false">D943+E943</f>
        <v>1</v>
      </c>
      <c r="G943" s="23" t="n">
        <f aca="false">IF(F943=0,"n/a",D943/F943)</f>
        <v>1</v>
      </c>
    </row>
    <row r="944" customFormat="false" ht="15" hidden="false" customHeight="true" outlineLevel="0" collapsed="false">
      <c r="A944" s="7" t="s">
        <v>147</v>
      </c>
      <c r="B944" s="7" t="s">
        <v>1126</v>
      </c>
      <c r="C944" s="7" t="s">
        <v>124</v>
      </c>
      <c r="D944" s="8" t="n">
        <v>1</v>
      </c>
      <c r="E944" s="8" t="n">
        <v>0</v>
      </c>
      <c r="F944" s="8" t="n">
        <f aca="false">D944+E944</f>
        <v>1</v>
      </c>
      <c r="G944" s="23" t="n">
        <f aca="false">IF(F944=0,"n/a",D944/F944)</f>
        <v>1</v>
      </c>
    </row>
    <row r="945" customFormat="false" ht="15" hidden="false" customHeight="true" outlineLevel="0" collapsed="false">
      <c r="A945" s="7" t="s">
        <v>147</v>
      </c>
      <c r="B945" s="7" t="s">
        <v>1127</v>
      </c>
      <c r="C945" s="7" t="s">
        <v>124</v>
      </c>
      <c r="D945" s="8" t="n">
        <v>1</v>
      </c>
      <c r="E945" s="8" t="n">
        <v>0</v>
      </c>
      <c r="F945" s="8" t="n">
        <f aca="false">D945+E945</f>
        <v>1</v>
      </c>
      <c r="G945" s="23" t="n">
        <f aca="false">IF(F945=0,"n/a",D945/F945)</f>
        <v>1</v>
      </c>
    </row>
    <row r="946" customFormat="false" ht="15" hidden="false" customHeight="true" outlineLevel="0" collapsed="false">
      <c r="A946" s="7" t="s">
        <v>147</v>
      </c>
      <c r="B946" s="7" t="s">
        <v>710</v>
      </c>
      <c r="C946" s="7" t="s">
        <v>124</v>
      </c>
      <c r="D946" s="8" t="n">
        <v>1</v>
      </c>
      <c r="E946" s="8" t="n">
        <v>0</v>
      </c>
      <c r="F946" s="8" t="n">
        <f aca="false">D946+E946</f>
        <v>1</v>
      </c>
      <c r="G946" s="23" t="n">
        <f aca="false">IF(F946=0,"n/a",D946/F946)</f>
        <v>1</v>
      </c>
    </row>
    <row r="947" customFormat="false" ht="15" hidden="false" customHeight="true" outlineLevel="0" collapsed="false">
      <c r="A947" s="7" t="s">
        <v>147</v>
      </c>
      <c r="B947" s="7" t="s">
        <v>1128</v>
      </c>
      <c r="C947" s="7" t="s">
        <v>124</v>
      </c>
      <c r="D947" s="8" t="n">
        <v>1</v>
      </c>
      <c r="E947" s="8" t="n">
        <v>0</v>
      </c>
      <c r="F947" s="8" t="n">
        <f aca="false">D947+E947</f>
        <v>1</v>
      </c>
      <c r="G947" s="23" t="n">
        <f aca="false">IF(F947=0,"n/a",D947/F947)</f>
        <v>1</v>
      </c>
    </row>
    <row r="948" customFormat="false" ht="15" hidden="false" customHeight="true" outlineLevel="0" collapsed="false">
      <c r="A948" s="7" t="s">
        <v>147</v>
      </c>
      <c r="B948" s="7" t="s">
        <v>1129</v>
      </c>
      <c r="C948" s="7" t="s">
        <v>124</v>
      </c>
      <c r="D948" s="8" t="n">
        <v>0</v>
      </c>
      <c r="E948" s="8" t="n">
        <v>1</v>
      </c>
      <c r="F948" s="8" t="n">
        <f aca="false">D948+E948</f>
        <v>1</v>
      </c>
      <c r="G948" s="23" t="n">
        <f aca="false">IF(F948=0,"n/a",D948/F948)</f>
        <v>0</v>
      </c>
    </row>
    <row r="949" customFormat="false" ht="15" hidden="false" customHeight="true" outlineLevel="0" collapsed="false">
      <c r="A949" s="7" t="s">
        <v>148</v>
      </c>
      <c r="B949" s="7" t="s">
        <v>1130</v>
      </c>
      <c r="C949" s="7" t="s">
        <v>95</v>
      </c>
      <c r="D949" s="8" t="n">
        <v>5</v>
      </c>
      <c r="E949" s="8" t="n">
        <v>10</v>
      </c>
      <c r="F949" s="8" t="n">
        <f aca="false">D949+E949</f>
        <v>15</v>
      </c>
      <c r="G949" s="23" t="n">
        <f aca="false">IF(F949=0,"n/a",D949/F949)</f>
        <v>0.333333333333333</v>
      </c>
    </row>
    <row r="950" customFormat="false" ht="15" hidden="false" customHeight="true" outlineLevel="0" collapsed="false">
      <c r="A950" s="7" t="s">
        <v>148</v>
      </c>
      <c r="B950" s="7" t="s">
        <v>1131</v>
      </c>
      <c r="C950" s="7" t="s">
        <v>95</v>
      </c>
      <c r="D950" s="8" t="n">
        <v>0</v>
      </c>
      <c r="E950" s="8" t="n">
        <v>6</v>
      </c>
      <c r="F950" s="8" t="n">
        <f aca="false">D950+E950</f>
        <v>6</v>
      </c>
      <c r="G950" s="23" t="n">
        <f aca="false">IF(F950=0,"n/a",D950/F950)</f>
        <v>0</v>
      </c>
    </row>
    <row r="951" customFormat="false" ht="15" hidden="false" customHeight="true" outlineLevel="0" collapsed="false">
      <c r="A951" s="7" t="s">
        <v>148</v>
      </c>
      <c r="B951" s="7" t="s">
        <v>1132</v>
      </c>
      <c r="C951" s="7" t="s">
        <v>95</v>
      </c>
      <c r="D951" s="8" t="n">
        <v>1</v>
      </c>
      <c r="E951" s="8" t="n">
        <v>5</v>
      </c>
      <c r="F951" s="8" t="n">
        <f aca="false">D951+E951</f>
        <v>6</v>
      </c>
      <c r="G951" s="23" t="n">
        <f aca="false">IF(F951=0,"n/a",D951/F951)</f>
        <v>0.166666666666667</v>
      </c>
    </row>
    <row r="952" customFormat="false" ht="15" hidden="false" customHeight="true" outlineLevel="0" collapsed="false">
      <c r="A952" s="7" t="s">
        <v>148</v>
      </c>
      <c r="B952" s="7" t="s">
        <v>647</v>
      </c>
      <c r="C952" s="7" t="s">
        <v>95</v>
      </c>
      <c r="D952" s="8" t="n">
        <v>1</v>
      </c>
      <c r="E952" s="8" t="n">
        <v>4</v>
      </c>
      <c r="F952" s="8" t="n">
        <f aca="false">D952+E952</f>
        <v>5</v>
      </c>
      <c r="G952" s="23" t="n">
        <f aca="false">IF(F952=0,"n/a",D952/F952)</f>
        <v>0.2</v>
      </c>
    </row>
    <row r="953" customFormat="false" ht="15" hidden="false" customHeight="true" outlineLevel="0" collapsed="false">
      <c r="A953" s="7" t="s">
        <v>148</v>
      </c>
      <c r="B953" s="7" t="s">
        <v>1133</v>
      </c>
      <c r="C953" s="7" t="s">
        <v>95</v>
      </c>
      <c r="D953" s="8" t="n">
        <v>1</v>
      </c>
      <c r="E953" s="8" t="n">
        <v>2</v>
      </c>
      <c r="F953" s="8" t="n">
        <f aca="false">D953+E953</f>
        <v>3</v>
      </c>
      <c r="G953" s="23" t="n">
        <f aca="false">IF(F953=0,"n/a",D953/F953)</f>
        <v>0.333333333333333</v>
      </c>
    </row>
    <row r="954" customFormat="false" ht="15" hidden="false" customHeight="true" outlineLevel="0" collapsed="false">
      <c r="A954" s="7" t="s">
        <v>148</v>
      </c>
      <c r="B954" s="7" t="s">
        <v>1134</v>
      </c>
      <c r="C954" s="7" t="s">
        <v>95</v>
      </c>
      <c r="D954" s="8" t="n">
        <v>0</v>
      </c>
      <c r="E954" s="8" t="n">
        <v>3</v>
      </c>
      <c r="F954" s="8" t="n">
        <f aca="false">D954+E954</f>
        <v>3</v>
      </c>
      <c r="G954" s="23" t="n">
        <f aca="false">IF(F954=0,"n/a",D954/F954)</f>
        <v>0</v>
      </c>
    </row>
    <row r="955" customFormat="false" ht="15" hidden="false" customHeight="true" outlineLevel="0" collapsed="false">
      <c r="A955" s="7" t="s">
        <v>148</v>
      </c>
      <c r="B955" s="7" t="s">
        <v>1135</v>
      </c>
      <c r="C955" s="7" t="s">
        <v>95</v>
      </c>
      <c r="D955" s="8" t="n">
        <v>0</v>
      </c>
      <c r="E955" s="8" t="n">
        <v>2</v>
      </c>
      <c r="F955" s="8" t="n">
        <f aca="false">D955+E955</f>
        <v>2</v>
      </c>
      <c r="G955" s="23" t="n">
        <f aca="false">IF(F955=0,"n/a",D955/F955)</f>
        <v>0</v>
      </c>
    </row>
    <row r="956" customFormat="false" ht="15" hidden="false" customHeight="true" outlineLevel="0" collapsed="false">
      <c r="A956" s="7" t="s">
        <v>148</v>
      </c>
      <c r="B956" s="7" t="s">
        <v>1136</v>
      </c>
      <c r="C956" s="7" t="s">
        <v>95</v>
      </c>
      <c r="D956" s="8" t="n">
        <v>2</v>
      </c>
      <c r="E956" s="8" t="n">
        <v>0</v>
      </c>
      <c r="F956" s="8" t="n">
        <f aca="false">D956+E956</f>
        <v>2</v>
      </c>
      <c r="G956" s="23" t="n">
        <f aca="false">IF(F956=0,"n/a",D956/F956)</f>
        <v>1</v>
      </c>
    </row>
    <row r="957" customFormat="false" ht="15" hidden="false" customHeight="true" outlineLevel="0" collapsed="false">
      <c r="A957" s="7" t="s">
        <v>148</v>
      </c>
      <c r="B957" s="7" t="s">
        <v>1046</v>
      </c>
      <c r="C957" s="7" t="s">
        <v>95</v>
      </c>
      <c r="D957" s="8" t="n">
        <v>1</v>
      </c>
      <c r="E957" s="8" t="n">
        <v>0</v>
      </c>
      <c r="F957" s="8" t="n">
        <f aca="false">D957+E957</f>
        <v>1</v>
      </c>
      <c r="G957" s="23" t="n">
        <f aca="false">IF(F957=0,"n/a",D957/F957)</f>
        <v>1</v>
      </c>
    </row>
    <row r="958" customFormat="false" ht="15" hidden="false" customHeight="true" outlineLevel="0" collapsed="false">
      <c r="A958" s="7" t="s">
        <v>148</v>
      </c>
      <c r="B958" s="7" t="s">
        <v>1137</v>
      </c>
      <c r="C958" s="7" t="s">
        <v>95</v>
      </c>
      <c r="D958" s="8" t="n">
        <v>1</v>
      </c>
      <c r="E958" s="8" t="n">
        <v>0</v>
      </c>
      <c r="F958" s="8" t="n">
        <f aca="false">D958+E958</f>
        <v>1</v>
      </c>
      <c r="G958" s="23" t="n">
        <f aca="false">IF(F958=0,"n/a",D958/F958)</f>
        <v>1</v>
      </c>
    </row>
    <row r="959" customFormat="false" ht="15" hidden="false" customHeight="true" outlineLevel="0" collapsed="false">
      <c r="A959" s="7" t="s">
        <v>148</v>
      </c>
      <c r="B959" s="7" t="s">
        <v>1138</v>
      </c>
      <c r="C959" s="7" t="s">
        <v>95</v>
      </c>
      <c r="D959" s="8" t="n">
        <v>1</v>
      </c>
      <c r="E959" s="8" t="n">
        <v>0</v>
      </c>
      <c r="F959" s="8" t="n">
        <f aca="false">D959+E959</f>
        <v>1</v>
      </c>
      <c r="G959" s="23" t="n">
        <f aca="false">IF(F959=0,"n/a",D959/F959)</f>
        <v>1</v>
      </c>
    </row>
    <row r="960" customFormat="false" ht="15" hidden="false" customHeight="true" outlineLevel="0" collapsed="false">
      <c r="A960" s="7" t="s">
        <v>148</v>
      </c>
      <c r="B960" s="7" t="s">
        <v>1139</v>
      </c>
      <c r="C960" s="7" t="s">
        <v>95</v>
      </c>
      <c r="D960" s="8" t="n">
        <v>1</v>
      </c>
      <c r="E960" s="8" t="n">
        <v>0</v>
      </c>
      <c r="F960" s="8" t="n">
        <f aca="false">D960+E960</f>
        <v>1</v>
      </c>
      <c r="G960" s="23" t="n">
        <f aca="false">IF(F960=0,"n/a",D960/F960)</f>
        <v>1</v>
      </c>
    </row>
    <row r="961" customFormat="false" ht="15" hidden="false" customHeight="true" outlineLevel="0" collapsed="false">
      <c r="A961" s="7" t="s">
        <v>148</v>
      </c>
      <c r="B961" s="7" t="s">
        <v>1140</v>
      </c>
      <c r="C961" s="7" t="s">
        <v>95</v>
      </c>
      <c r="D961" s="8" t="n">
        <v>1</v>
      </c>
      <c r="E961" s="8" t="n">
        <v>0</v>
      </c>
      <c r="F961" s="8" t="n">
        <f aca="false">D961+E961</f>
        <v>1</v>
      </c>
      <c r="G961" s="23" t="n">
        <f aca="false">IF(F961=0,"n/a",D961/F961)</f>
        <v>1</v>
      </c>
    </row>
    <row r="962" customFormat="false" ht="15" hidden="false" customHeight="true" outlineLevel="0" collapsed="false">
      <c r="A962" s="7" t="s">
        <v>148</v>
      </c>
      <c r="B962" s="7" t="s">
        <v>1141</v>
      </c>
      <c r="C962" s="7" t="s">
        <v>95</v>
      </c>
      <c r="D962" s="8" t="n">
        <v>0</v>
      </c>
      <c r="E962" s="8" t="n">
        <v>1</v>
      </c>
      <c r="F962" s="8" t="n">
        <f aca="false">D962+E962</f>
        <v>1</v>
      </c>
      <c r="G962" s="23" t="n">
        <f aca="false">IF(F962=0,"n/a",D962/F962)</f>
        <v>0</v>
      </c>
    </row>
    <row r="963" customFormat="false" ht="15" hidden="false" customHeight="true" outlineLevel="0" collapsed="false">
      <c r="A963" s="7" t="s">
        <v>148</v>
      </c>
      <c r="B963" s="7" t="s">
        <v>1142</v>
      </c>
      <c r="C963" s="7" t="s">
        <v>95</v>
      </c>
      <c r="D963" s="8" t="n">
        <v>1</v>
      </c>
      <c r="E963" s="8" t="n">
        <v>0</v>
      </c>
      <c r="F963" s="8" t="n">
        <f aca="false">D963+E963</f>
        <v>1</v>
      </c>
      <c r="G963" s="23" t="n">
        <f aca="false">IF(F963=0,"n/a",D963/F963)</f>
        <v>1</v>
      </c>
    </row>
    <row r="964" customFormat="false" ht="15" hidden="false" customHeight="true" outlineLevel="0" collapsed="false">
      <c r="A964" s="7" t="s">
        <v>85</v>
      </c>
      <c r="B964" s="7" t="s">
        <v>1143</v>
      </c>
      <c r="C964" s="7" t="s">
        <v>141</v>
      </c>
      <c r="D964" s="8" t="n">
        <v>6</v>
      </c>
      <c r="E964" s="8" t="n">
        <v>8</v>
      </c>
      <c r="F964" s="8" t="n">
        <f aca="false">D964+E964</f>
        <v>14</v>
      </c>
      <c r="G964" s="23" t="n">
        <f aca="false">IF(F964=0,"n/a",D964/F964)</f>
        <v>0.428571428571429</v>
      </c>
    </row>
    <row r="965" customFormat="false" ht="15" hidden="false" customHeight="true" outlineLevel="0" collapsed="false">
      <c r="A965" s="7" t="s">
        <v>85</v>
      </c>
      <c r="B965" s="7" t="s">
        <v>1144</v>
      </c>
      <c r="C965" s="7" t="s">
        <v>141</v>
      </c>
      <c r="D965" s="8" t="n">
        <v>3</v>
      </c>
      <c r="E965" s="8" t="n">
        <v>6</v>
      </c>
      <c r="F965" s="8" t="n">
        <f aca="false">D965+E965</f>
        <v>9</v>
      </c>
      <c r="G965" s="23" t="n">
        <f aca="false">IF(F965=0,"n/a",D965/F965)</f>
        <v>0.333333333333333</v>
      </c>
    </row>
    <row r="966" customFormat="false" ht="15" hidden="false" customHeight="true" outlineLevel="0" collapsed="false">
      <c r="A966" s="7" t="s">
        <v>85</v>
      </c>
      <c r="B966" s="7" t="s">
        <v>1145</v>
      </c>
      <c r="C966" s="7" t="s">
        <v>141</v>
      </c>
      <c r="D966" s="8" t="n">
        <v>0</v>
      </c>
      <c r="E966" s="8" t="n">
        <v>5</v>
      </c>
      <c r="F966" s="8" t="n">
        <f aca="false">D966+E966</f>
        <v>5</v>
      </c>
      <c r="G966" s="23" t="n">
        <f aca="false">IF(F966=0,"n/a",D966/F966)</f>
        <v>0</v>
      </c>
    </row>
    <row r="967" customFormat="false" ht="15" hidden="false" customHeight="true" outlineLevel="0" collapsed="false">
      <c r="A967" s="7" t="s">
        <v>85</v>
      </c>
      <c r="B967" s="7" t="s">
        <v>1146</v>
      </c>
      <c r="C967" s="7" t="s">
        <v>141</v>
      </c>
      <c r="D967" s="8" t="n">
        <v>0</v>
      </c>
      <c r="E967" s="8" t="n">
        <v>4</v>
      </c>
      <c r="F967" s="8" t="n">
        <f aca="false">D967+E967</f>
        <v>4</v>
      </c>
      <c r="G967" s="23" t="n">
        <f aca="false">IF(F967=0,"n/a",D967/F967)</f>
        <v>0</v>
      </c>
    </row>
    <row r="968" customFormat="false" ht="15" hidden="false" customHeight="true" outlineLevel="0" collapsed="false">
      <c r="A968" s="7" t="s">
        <v>85</v>
      </c>
      <c r="B968" s="7" t="s">
        <v>1147</v>
      </c>
      <c r="C968" s="7" t="s">
        <v>141</v>
      </c>
      <c r="D968" s="15" t="n">
        <v>0</v>
      </c>
      <c r="E968" s="15" t="n">
        <v>4</v>
      </c>
      <c r="F968" s="8" t="n">
        <f aca="false">D968+E968</f>
        <v>4</v>
      </c>
      <c r="G968" s="23" t="n">
        <f aca="false">IF(F968=0,"n/a",D968/F968)</f>
        <v>0</v>
      </c>
    </row>
    <row r="969" customFormat="false" ht="15" hidden="false" customHeight="true" outlineLevel="0" collapsed="false">
      <c r="A969" s="7" t="s">
        <v>85</v>
      </c>
      <c r="B969" s="7" t="s">
        <v>1148</v>
      </c>
      <c r="C969" s="7" t="s">
        <v>141</v>
      </c>
      <c r="D969" s="8" t="n">
        <v>3</v>
      </c>
      <c r="E969" s="8" t="n">
        <v>1</v>
      </c>
      <c r="F969" s="8" t="n">
        <f aca="false">D969+E969</f>
        <v>4</v>
      </c>
      <c r="G969" s="23" t="n">
        <f aca="false">IF(F969=0,"n/a",D969/F969)</f>
        <v>0.75</v>
      </c>
    </row>
    <row r="970" customFormat="false" ht="15" hidden="false" customHeight="true" outlineLevel="0" collapsed="false">
      <c r="A970" s="7" t="s">
        <v>85</v>
      </c>
      <c r="B970" s="7" t="s">
        <v>1149</v>
      </c>
      <c r="C970" s="7" t="s">
        <v>141</v>
      </c>
      <c r="D970" s="8" t="n">
        <v>0</v>
      </c>
      <c r="E970" s="8" t="n">
        <v>3</v>
      </c>
      <c r="F970" s="8" t="n">
        <f aca="false">D970+E970</f>
        <v>3</v>
      </c>
      <c r="G970" s="23" t="n">
        <f aca="false">IF(F970=0,"n/a",D970/F970)</f>
        <v>0</v>
      </c>
    </row>
    <row r="971" customFormat="false" ht="15" hidden="false" customHeight="true" outlineLevel="0" collapsed="false">
      <c r="A971" s="7" t="s">
        <v>85</v>
      </c>
      <c r="B971" s="7" t="s">
        <v>1150</v>
      </c>
      <c r="C971" s="7" t="s">
        <v>141</v>
      </c>
      <c r="D971" s="8" t="n">
        <v>3</v>
      </c>
      <c r="E971" s="8" t="n">
        <v>0</v>
      </c>
      <c r="F971" s="8" t="n">
        <f aca="false">D971+E971</f>
        <v>3</v>
      </c>
      <c r="G971" s="23" t="n">
        <f aca="false">IF(F971=0,"n/a",D971/F971)</f>
        <v>1</v>
      </c>
    </row>
    <row r="972" customFormat="false" ht="15" hidden="false" customHeight="true" outlineLevel="0" collapsed="false">
      <c r="A972" s="7" t="s">
        <v>85</v>
      </c>
      <c r="B972" s="7" t="s">
        <v>1151</v>
      </c>
      <c r="C972" s="7" t="s">
        <v>141</v>
      </c>
      <c r="D972" s="8" t="n">
        <v>2</v>
      </c>
      <c r="E972" s="8" t="n">
        <v>1</v>
      </c>
      <c r="F972" s="8" t="n">
        <f aca="false">D972+E972</f>
        <v>3</v>
      </c>
      <c r="G972" s="23" t="n">
        <f aca="false">IF(F972=0,"n/a",D972/F972)</f>
        <v>0.666666666666667</v>
      </c>
    </row>
    <row r="973" customFormat="false" ht="15" hidden="false" customHeight="true" outlineLevel="0" collapsed="false">
      <c r="A973" s="7" t="s">
        <v>85</v>
      </c>
      <c r="B973" s="7" t="s">
        <v>428</v>
      </c>
      <c r="C973" s="7" t="s">
        <v>141</v>
      </c>
      <c r="D973" s="8" t="n">
        <v>0</v>
      </c>
      <c r="E973" s="8" t="n">
        <v>3</v>
      </c>
      <c r="F973" s="8" t="n">
        <f aca="false">D973+E973</f>
        <v>3</v>
      </c>
      <c r="G973" s="23" t="n">
        <f aca="false">IF(F973=0,"n/a",D973/F973)</f>
        <v>0</v>
      </c>
    </row>
    <row r="974" customFormat="false" ht="15" hidden="false" customHeight="true" outlineLevel="0" collapsed="false">
      <c r="A974" s="7" t="s">
        <v>85</v>
      </c>
      <c r="B974" s="7" t="s">
        <v>1152</v>
      </c>
      <c r="C974" s="7" t="s">
        <v>141</v>
      </c>
      <c r="D974" s="8" t="n">
        <v>3</v>
      </c>
      <c r="E974" s="8" t="n">
        <v>0</v>
      </c>
      <c r="F974" s="8" t="n">
        <f aca="false">D974+E974</f>
        <v>3</v>
      </c>
      <c r="G974" s="23" t="n">
        <f aca="false">IF(F974=0,"n/a",D974/F974)</f>
        <v>1</v>
      </c>
    </row>
    <row r="975" customFormat="false" ht="15" hidden="false" customHeight="true" outlineLevel="0" collapsed="false">
      <c r="A975" s="7" t="s">
        <v>85</v>
      </c>
      <c r="B975" s="7" t="s">
        <v>1153</v>
      </c>
      <c r="C975" s="7" t="s">
        <v>141</v>
      </c>
      <c r="D975" s="8" t="n">
        <v>0</v>
      </c>
      <c r="E975" s="8" t="n">
        <v>3</v>
      </c>
      <c r="F975" s="8" t="n">
        <f aca="false">D975+E975</f>
        <v>3</v>
      </c>
      <c r="G975" s="23" t="n">
        <f aca="false">IF(F975=0,"n/a",D975/F975)</f>
        <v>0</v>
      </c>
    </row>
    <row r="976" customFormat="false" ht="15" hidden="false" customHeight="true" outlineLevel="0" collapsed="false">
      <c r="A976" s="7" t="s">
        <v>85</v>
      </c>
      <c r="B976" s="7" t="s">
        <v>1154</v>
      </c>
      <c r="C976" s="7" t="s">
        <v>141</v>
      </c>
      <c r="D976" s="8" t="n">
        <v>1</v>
      </c>
      <c r="E976" s="8" t="n">
        <v>1</v>
      </c>
      <c r="F976" s="8" t="n">
        <f aca="false">D976+E976</f>
        <v>2</v>
      </c>
      <c r="G976" s="23" t="n">
        <f aca="false">IF(F976=0,"n/a",D976/F976)</f>
        <v>0.5</v>
      </c>
    </row>
    <row r="977" customFormat="false" ht="15" hidden="false" customHeight="true" outlineLevel="0" collapsed="false">
      <c r="A977" s="7" t="s">
        <v>85</v>
      </c>
      <c r="B977" s="7" t="s">
        <v>1155</v>
      </c>
      <c r="C977" s="7" t="s">
        <v>141</v>
      </c>
      <c r="D977" s="8" t="n">
        <v>2</v>
      </c>
      <c r="E977" s="8" t="n">
        <v>0</v>
      </c>
      <c r="F977" s="8" t="n">
        <f aca="false">D977+E977</f>
        <v>2</v>
      </c>
      <c r="G977" s="23" t="n">
        <f aca="false">IF(F977=0,"n/a",D977/F977)</f>
        <v>1</v>
      </c>
    </row>
    <row r="978" customFormat="false" ht="15" hidden="false" customHeight="true" outlineLevel="0" collapsed="false">
      <c r="A978" s="7" t="s">
        <v>85</v>
      </c>
      <c r="B978" s="7" t="s">
        <v>1156</v>
      </c>
      <c r="C978" s="7" t="s">
        <v>141</v>
      </c>
      <c r="D978" s="8" t="n">
        <v>0</v>
      </c>
      <c r="E978" s="8" t="n">
        <v>2</v>
      </c>
      <c r="F978" s="8" t="n">
        <f aca="false">D978+E978</f>
        <v>2</v>
      </c>
      <c r="G978" s="23" t="n">
        <f aca="false">IF(F978=0,"n/a",D978/F978)</f>
        <v>0</v>
      </c>
    </row>
    <row r="979" customFormat="false" ht="15" hidden="false" customHeight="true" outlineLevel="0" collapsed="false">
      <c r="A979" s="7" t="s">
        <v>85</v>
      </c>
      <c r="B979" s="7" t="s">
        <v>1157</v>
      </c>
      <c r="C979" s="7" t="s">
        <v>141</v>
      </c>
      <c r="D979" s="8" t="n">
        <v>0</v>
      </c>
      <c r="E979" s="8" t="n">
        <v>2</v>
      </c>
      <c r="F979" s="8" t="n">
        <f aca="false">D979+E979</f>
        <v>2</v>
      </c>
      <c r="G979" s="23" t="n">
        <f aca="false">IF(F979=0,"n/a",D979/F979)</f>
        <v>0</v>
      </c>
    </row>
    <row r="980" customFormat="false" ht="15" hidden="false" customHeight="true" outlineLevel="0" collapsed="false">
      <c r="A980" s="7" t="s">
        <v>85</v>
      </c>
      <c r="B980" s="7" t="s">
        <v>1158</v>
      </c>
      <c r="C980" s="7" t="s">
        <v>141</v>
      </c>
      <c r="D980" s="8" t="n">
        <v>2</v>
      </c>
      <c r="E980" s="8" t="n">
        <v>0</v>
      </c>
      <c r="F980" s="8" t="n">
        <f aca="false">D980+E980</f>
        <v>2</v>
      </c>
      <c r="G980" s="23" t="n">
        <f aca="false">IF(F980=0,"n/a",D980/F980)</f>
        <v>1</v>
      </c>
    </row>
    <row r="981" customFormat="false" ht="15" hidden="false" customHeight="true" outlineLevel="0" collapsed="false">
      <c r="A981" s="7" t="s">
        <v>85</v>
      </c>
      <c r="B981" s="7" t="s">
        <v>1159</v>
      </c>
      <c r="C981" s="7" t="s">
        <v>141</v>
      </c>
      <c r="D981" s="8" t="n">
        <v>0</v>
      </c>
      <c r="E981" s="8" t="n">
        <v>2</v>
      </c>
      <c r="F981" s="8" t="n">
        <f aca="false">D981+E981</f>
        <v>2</v>
      </c>
      <c r="G981" s="23" t="n">
        <f aca="false">IF(F981=0,"n/a",D981/F981)</f>
        <v>0</v>
      </c>
    </row>
    <row r="982" customFormat="false" ht="15" hidden="false" customHeight="true" outlineLevel="0" collapsed="false">
      <c r="A982" s="7" t="s">
        <v>85</v>
      </c>
      <c r="B982" s="7" t="s">
        <v>1160</v>
      </c>
      <c r="C982" s="7" t="s">
        <v>141</v>
      </c>
      <c r="D982" s="8" t="n">
        <v>0</v>
      </c>
      <c r="E982" s="8" t="n">
        <v>2</v>
      </c>
      <c r="F982" s="8" t="n">
        <f aca="false">D982+E982</f>
        <v>2</v>
      </c>
      <c r="G982" s="23" t="n">
        <f aca="false">IF(F982=0,"n/a",D982/F982)</f>
        <v>0</v>
      </c>
    </row>
    <row r="983" customFormat="false" ht="15" hidden="false" customHeight="true" outlineLevel="0" collapsed="false">
      <c r="A983" s="7" t="s">
        <v>85</v>
      </c>
      <c r="B983" s="7" t="s">
        <v>1161</v>
      </c>
      <c r="C983" s="7" t="s">
        <v>141</v>
      </c>
      <c r="D983" s="8" t="n">
        <v>2</v>
      </c>
      <c r="E983" s="8" t="n">
        <v>0</v>
      </c>
      <c r="F983" s="8" t="n">
        <f aca="false">D983+E983</f>
        <v>2</v>
      </c>
      <c r="G983" s="23" t="n">
        <f aca="false">IF(F983=0,"n/a",D983/F983)</f>
        <v>1</v>
      </c>
    </row>
    <row r="984" customFormat="false" ht="15" hidden="false" customHeight="true" outlineLevel="0" collapsed="false">
      <c r="A984" s="7" t="s">
        <v>85</v>
      </c>
      <c r="B984" s="7" t="s">
        <v>1162</v>
      </c>
      <c r="C984" s="7" t="s">
        <v>141</v>
      </c>
      <c r="D984" s="8" t="n">
        <v>1</v>
      </c>
      <c r="E984" s="8" t="n">
        <v>0</v>
      </c>
      <c r="F984" s="8" t="n">
        <f aca="false">D984+E984</f>
        <v>1</v>
      </c>
      <c r="G984" s="23" t="n">
        <f aca="false">IF(F984=0,"n/a",D984/F984)</f>
        <v>1</v>
      </c>
    </row>
    <row r="985" customFormat="false" ht="15" hidden="false" customHeight="true" outlineLevel="0" collapsed="false">
      <c r="A985" s="7" t="s">
        <v>85</v>
      </c>
      <c r="B985" s="7" t="s">
        <v>1163</v>
      </c>
      <c r="C985" s="7" t="s">
        <v>141</v>
      </c>
      <c r="D985" s="8" t="n">
        <v>0</v>
      </c>
      <c r="E985" s="8" t="n">
        <v>1</v>
      </c>
      <c r="F985" s="8" t="n">
        <f aca="false">D985+E985</f>
        <v>1</v>
      </c>
      <c r="G985" s="23" t="n">
        <f aca="false">IF(F985=0,"n/a",D985/F985)</f>
        <v>0</v>
      </c>
    </row>
    <row r="986" customFormat="false" ht="15" hidden="false" customHeight="true" outlineLevel="0" collapsed="false">
      <c r="A986" s="7" t="s">
        <v>85</v>
      </c>
      <c r="B986" s="7" t="s">
        <v>494</v>
      </c>
      <c r="C986" s="7" t="s">
        <v>141</v>
      </c>
      <c r="D986" s="8" t="n">
        <v>0</v>
      </c>
      <c r="E986" s="8" t="n">
        <v>1</v>
      </c>
      <c r="F986" s="8" t="n">
        <f aca="false">D986+E986</f>
        <v>1</v>
      </c>
      <c r="G986" s="23" t="n">
        <f aca="false">IF(F986=0,"n/a",D986/F986)</f>
        <v>0</v>
      </c>
    </row>
    <row r="987" customFormat="false" ht="15" hidden="false" customHeight="true" outlineLevel="0" collapsed="false">
      <c r="A987" s="7" t="s">
        <v>85</v>
      </c>
      <c r="B987" s="7" t="s">
        <v>1164</v>
      </c>
      <c r="C987" s="7" t="s">
        <v>141</v>
      </c>
      <c r="D987" s="8" t="n">
        <v>0</v>
      </c>
      <c r="E987" s="8" t="n">
        <v>1</v>
      </c>
      <c r="F987" s="8" t="n">
        <f aca="false">D987+E987</f>
        <v>1</v>
      </c>
      <c r="G987" s="23" t="n">
        <f aca="false">IF(F987=0,"n/a",D987/F987)</f>
        <v>0</v>
      </c>
    </row>
    <row r="988" customFormat="false" ht="15" hidden="false" customHeight="true" outlineLevel="0" collapsed="false">
      <c r="A988" s="7" t="s">
        <v>85</v>
      </c>
      <c r="B988" s="7" t="s">
        <v>1165</v>
      </c>
      <c r="C988" s="7" t="s">
        <v>141</v>
      </c>
      <c r="D988" s="8" t="n">
        <v>1</v>
      </c>
      <c r="E988" s="8" t="n">
        <v>0</v>
      </c>
      <c r="F988" s="8" t="n">
        <f aca="false">D988+E988</f>
        <v>1</v>
      </c>
      <c r="G988" s="23" t="n">
        <f aca="false">IF(F988=0,"n/a",D988/F988)</f>
        <v>1</v>
      </c>
    </row>
    <row r="989" customFormat="false" ht="15" hidden="false" customHeight="true" outlineLevel="0" collapsed="false">
      <c r="A989" s="7" t="s">
        <v>85</v>
      </c>
      <c r="B989" s="7" t="s">
        <v>1166</v>
      </c>
      <c r="C989" s="7" t="s">
        <v>141</v>
      </c>
      <c r="D989" s="8" t="n">
        <v>0</v>
      </c>
      <c r="E989" s="8" t="n">
        <v>1</v>
      </c>
      <c r="F989" s="8" t="n">
        <f aca="false">D989+E989</f>
        <v>1</v>
      </c>
      <c r="G989" s="23" t="n">
        <f aca="false">IF(F989=0,"n/a",D989/F989)</f>
        <v>0</v>
      </c>
    </row>
    <row r="990" customFormat="false" ht="15" hidden="false" customHeight="true" outlineLevel="0" collapsed="false">
      <c r="A990" s="7" t="s">
        <v>85</v>
      </c>
      <c r="B990" s="7" t="s">
        <v>1167</v>
      </c>
      <c r="C990" s="7" t="s">
        <v>141</v>
      </c>
      <c r="D990" s="8" t="n">
        <v>0</v>
      </c>
      <c r="E990" s="8" t="n">
        <v>1</v>
      </c>
      <c r="F990" s="8" t="n">
        <f aca="false">D990+E990</f>
        <v>1</v>
      </c>
      <c r="G990" s="23" t="n">
        <f aca="false">IF(F990=0,"n/a",D990/F990)</f>
        <v>0</v>
      </c>
    </row>
    <row r="991" customFormat="false" ht="15" hidden="false" customHeight="true" outlineLevel="0" collapsed="false">
      <c r="A991" s="7" t="s">
        <v>85</v>
      </c>
      <c r="B991" s="7" t="s">
        <v>1168</v>
      </c>
      <c r="C991" s="7" t="s">
        <v>141</v>
      </c>
      <c r="D991" s="8" t="n">
        <v>0</v>
      </c>
      <c r="E991" s="8" t="n">
        <v>1</v>
      </c>
      <c r="F991" s="8" t="n">
        <f aca="false">D991+E991</f>
        <v>1</v>
      </c>
      <c r="G991" s="23" t="n">
        <f aca="false">IF(F991=0,"n/a",D991/F991)</f>
        <v>0</v>
      </c>
    </row>
    <row r="992" customFormat="false" ht="15" hidden="false" customHeight="true" outlineLevel="0" collapsed="false">
      <c r="A992" s="7" t="s">
        <v>85</v>
      </c>
      <c r="B992" s="7" t="s">
        <v>1169</v>
      </c>
      <c r="C992" s="7" t="s">
        <v>141</v>
      </c>
      <c r="D992" s="8" t="n">
        <v>1</v>
      </c>
      <c r="E992" s="8" t="n">
        <v>0</v>
      </c>
      <c r="F992" s="8" t="n">
        <f aca="false">D992+E992</f>
        <v>1</v>
      </c>
      <c r="G992" s="23" t="n">
        <f aca="false">IF(F992=0,"n/a",D992/F992)</f>
        <v>1</v>
      </c>
    </row>
    <row r="993" customFormat="false" ht="15" hidden="false" customHeight="true" outlineLevel="0" collapsed="false">
      <c r="A993" s="7" t="s">
        <v>85</v>
      </c>
      <c r="B993" s="7" t="s">
        <v>950</v>
      </c>
      <c r="C993" s="7" t="s">
        <v>141</v>
      </c>
      <c r="D993" s="8" t="n">
        <v>0</v>
      </c>
      <c r="E993" s="8" t="n">
        <v>1</v>
      </c>
      <c r="F993" s="8" t="n">
        <f aca="false">D993+E993</f>
        <v>1</v>
      </c>
      <c r="G993" s="23" t="n">
        <f aca="false">IF(F993=0,"n/a",D993/F993)</f>
        <v>0</v>
      </c>
    </row>
    <row r="994" customFormat="false" ht="15" hidden="false" customHeight="true" outlineLevel="0" collapsed="false">
      <c r="A994" s="7" t="s">
        <v>85</v>
      </c>
      <c r="B994" s="7" t="s">
        <v>1170</v>
      </c>
      <c r="C994" s="7" t="s">
        <v>141</v>
      </c>
      <c r="D994" s="8" t="n">
        <v>0</v>
      </c>
      <c r="E994" s="8" t="n">
        <v>1</v>
      </c>
      <c r="F994" s="8" t="n">
        <f aca="false">D994+E994</f>
        <v>1</v>
      </c>
      <c r="G994" s="23" t="n">
        <f aca="false">IF(F994=0,"n/a",D994/F994)</f>
        <v>0</v>
      </c>
    </row>
    <row r="995" customFormat="false" ht="15" hidden="false" customHeight="true" outlineLevel="0" collapsed="false">
      <c r="A995" s="7" t="s">
        <v>85</v>
      </c>
      <c r="B995" s="7" t="s">
        <v>1171</v>
      </c>
      <c r="C995" s="7" t="s">
        <v>141</v>
      </c>
      <c r="D995" s="8" t="n">
        <v>0</v>
      </c>
      <c r="E995" s="8" t="n">
        <v>1</v>
      </c>
      <c r="F995" s="8" t="n">
        <f aca="false">D995+E995</f>
        <v>1</v>
      </c>
      <c r="G995" s="23" t="n">
        <f aca="false">IF(F995=0,"n/a",D995/F995)</f>
        <v>0</v>
      </c>
    </row>
    <row r="996" customFormat="false" ht="15" hidden="false" customHeight="true" outlineLevel="0" collapsed="false">
      <c r="A996" s="7" t="s">
        <v>85</v>
      </c>
      <c r="B996" s="7" t="s">
        <v>1172</v>
      </c>
      <c r="C996" s="7" t="s">
        <v>141</v>
      </c>
      <c r="D996" s="8" t="n">
        <v>0</v>
      </c>
      <c r="E996" s="8" t="n">
        <v>1</v>
      </c>
      <c r="F996" s="8" t="n">
        <f aca="false">D996+E996</f>
        <v>1</v>
      </c>
      <c r="G996" s="23" t="n">
        <f aca="false">IF(F996=0,"n/a",D996/F996)</f>
        <v>0</v>
      </c>
    </row>
    <row r="997" customFormat="false" ht="15" hidden="false" customHeight="true" outlineLevel="0" collapsed="false">
      <c r="A997" s="7" t="s">
        <v>85</v>
      </c>
      <c r="B997" s="7" t="s">
        <v>1173</v>
      </c>
      <c r="C997" s="7" t="s">
        <v>141</v>
      </c>
      <c r="D997" s="8" t="n">
        <v>0</v>
      </c>
      <c r="E997" s="8" t="n">
        <v>1</v>
      </c>
      <c r="F997" s="8" t="n">
        <f aca="false">D997+E997</f>
        <v>1</v>
      </c>
      <c r="G997" s="23" t="n">
        <f aca="false">IF(F997=0,"n/a",D997/F997)</f>
        <v>0</v>
      </c>
    </row>
    <row r="998" customFormat="false" ht="15" hidden="false" customHeight="true" outlineLevel="0" collapsed="false">
      <c r="A998" s="7" t="s">
        <v>85</v>
      </c>
      <c r="B998" s="7" t="s">
        <v>1174</v>
      </c>
      <c r="C998" s="7" t="s">
        <v>141</v>
      </c>
      <c r="D998" s="8" t="n">
        <v>1</v>
      </c>
      <c r="E998" s="8" t="n">
        <v>0</v>
      </c>
      <c r="F998" s="8" t="n">
        <f aca="false">D998+E998</f>
        <v>1</v>
      </c>
      <c r="G998" s="23" t="n">
        <f aca="false">IF(F998=0,"n/a",D998/F998)</f>
        <v>1</v>
      </c>
    </row>
    <row r="999" customFormat="false" ht="15" hidden="false" customHeight="true" outlineLevel="0" collapsed="false">
      <c r="A999" s="7" t="s">
        <v>85</v>
      </c>
      <c r="B999" s="7" t="s">
        <v>1175</v>
      </c>
      <c r="C999" s="7" t="s">
        <v>141</v>
      </c>
      <c r="D999" s="8" t="n">
        <v>1</v>
      </c>
      <c r="E999" s="8" t="n">
        <v>0</v>
      </c>
      <c r="F999" s="8" t="n">
        <f aca="false">D999+E999</f>
        <v>1</v>
      </c>
      <c r="G999" s="23" t="n">
        <f aca="false">IF(F999=0,"n/a",D999/F999)</f>
        <v>1</v>
      </c>
    </row>
    <row r="1000" customFormat="false" ht="15" hidden="false" customHeight="true" outlineLevel="0" collapsed="false">
      <c r="A1000" s="7" t="s">
        <v>85</v>
      </c>
      <c r="B1000" s="7" t="s">
        <v>1176</v>
      </c>
      <c r="C1000" s="7" t="s">
        <v>141</v>
      </c>
      <c r="D1000" s="8" t="n">
        <v>0</v>
      </c>
      <c r="E1000" s="8" t="n">
        <v>1</v>
      </c>
      <c r="F1000" s="8" t="n">
        <f aca="false">D1000+E1000</f>
        <v>1</v>
      </c>
      <c r="G1000" s="23" t="n">
        <f aca="false">IF(F1000=0,"n/a",D1000/F1000)</f>
        <v>0</v>
      </c>
    </row>
    <row r="1001" customFormat="false" ht="15" hidden="false" customHeight="true" outlineLevel="0" collapsed="false">
      <c r="A1001" s="7" t="s">
        <v>85</v>
      </c>
      <c r="B1001" s="7" t="s">
        <v>1177</v>
      </c>
      <c r="C1001" s="7" t="s">
        <v>141</v>
      </c>
      <c r="D1001" s="8" t="n">
        <v>1</v>
      </c>
      <c r="E1001" s="8" t="n">
        <v>0</v>
      </c>
      <c r="F1001" s="8" t="n">
        <f aca="false">D1001+E1001</f>
        <v>1</v>
      </c>
      <c r="G1001" s="23" t="n">
        <f aca="false">IF(F1001=0,"n/a",D1001/F1001)</f>
        <v>1</v>
      </c>
    </row>
    <row r="1002" customFormat="false" ht="15" hidden="false" customHeight="true" outlineLevel="0" collapsed="false">
      <c r="A1002" s="7" t="s">
        <v>85</v>
      </c>
      <c r="B1002" s="7" t="s">
        <v>1178</v>
      </c>
      <c r="C1002" s="7" t="s">
        <v>141</v>
      </c>
      <c r="D1002" s="8" t="n">
        <v>1</v>
      </c>
      <c r="E1002" s="8" t="n">
        <v>0</v>
      </c>
      <c r="F1002" s="8" t="n">
        <f aca="false">D1002+E1002</f>
        <v>1</v>
      </c>
      <c r="G1002" s="23" t="n">
        <f aca="false">IF(F1002=0,"n/a",D1002/F1002)</f>
        <v>1</v>
      </c>
    </row>
    <row r="1003" customFormat="false" ht="15" hidden="false" customHeight="true" outlineLevel="0" collapsed="false">
      <c r="A1003" s="7" t="s">
        <v>85</v>
      </c>
      <c r="B1003" s="7" t="s">
        <v>1179</v>
      </c>
      <c r="C1003" s="7" t="s">
        <v>141</v>
      </c>
      <c r="D1003" s="8" t="n">
        <v>0</v>
      </c>
      <c r="E1003" s="8" t="n">
        <v>1</v>
      </c>
      <c r="F1003" s="8" t="n">
        <f aca="false">D1003+E1003</f>
        <v>1</v>
      </c>
      <c r="G1003" s="23" t="n">
        <f aca="false">IF(F1003=0,"n/a",D1003/F1003)</f>
        <v>0</v>
      </c>
    </row>
    <row r="1004" customFormat="false" ht="15" hidden="false" customHeight="true" outlineLevel="0" collapsed="false">
      <c r="A1004" s="7" t="s">
        <v>85</v>
      </c>
      <c r="B1004" s="7" t="s">
        <v>1180</v>
      </c>
      <c r="C1004" s="7" t="s">
        <v>141</v>
      </c>
      <c r="D1004" s="8" t="n">
        <v>1</v>
      </c>
      <c r="E1004" s="8" t="n">
        <v>0</v>
      </c>
      <c r="F1004" s="8" t="n">
        <f aca="false">D1004+E1004</f>
        <v>1</v>
      </c>
      <c r="G1004" s="23" t="n">
        <f aca="false">IF(F1004=0,"n/a",D1004/F1004)</f>
        <v>1</v>
      </c>
    </row>
    <row r="1005" customFormat="false" ht="15" hidden="false" customHeight="true" outlineLevel="0" collapsed="false">
      <c r="A1005" s="7" t="s">
        <v>149</v>
      </c>
      <c r="B1005" s="7" t="s">
        <v>1181</v>
      </c>
      <c r="C1005" s="7" t="s">
        <v>107</v>
      </c>
      <c r="D1005" s="8" t="n">
        <v>3</v>
      </c>
      <c r="E1005" s="8" t="n">
        <v>1</v>
      </c>
      <c r="F1005" s="8" t="n">
        <f aca="false">D1005+E1005</f>
        <v>4</v>
      </c>
      <c r="G1005" s="23" t="n">
        <f aca="false">IF(F1005=0,"n/a",D1005/F1005)</f>
        <v>0.75</v>
      </c>
    </row>
    <row r="1006" customFormat="false" ht="15" hidden="false" customHeight="true" outlineLevel="0" collapsed="false">
      <c r="A1006" s="7" t="s">
        <v>149</v>
      </c>
      <c r="B1006" s="7" t="s">
        <v>1182</v>
      </c>
      <c r="C1006" s="7" t="s">
        <v>107</v>
      </c>
      <c r="D1006" s="8" t="n">
        <v>0</v>
      </c>
      <c r="E1006" s="8" t="n">
        <v>3</v>
      </c>
      <c r="F1006" s="8" t="n">
        <f aca="false">D1006+E1006</f>
        <v>3</v>
      </c>
      <c r="G1006" s="23" t="n">
        <f aca="false">IF(F1006=0,"n/a",D1006/F1006)</f>
        <v>0</v>
      </c>
    </row>
    <row r="1007" customFormat="false" ht="15" hidden="false" customHeight="true" outlineLevel="0" collapsed="false">
      <c r="A1007" s="7" t="s">
        <v>149</v>
      </c>
      <c r="B1007" s="7" t="s">
        <v>1183</v>
      </c>
      <c r="C1007" s="7" t="s">
        <v>107</v>
      </c>
      <c r="D1007" s="8" t="n">
        <v>1</v>
      </c>
      <c r="E1007" s="8" t="n">
        <v>1</v>
      </c>
      <c r="F1007" s="8" t="n">
        <f aca="false">D1007+E1007</f>
        <v>2</v>
      </c>
      <c r="G1007" s="23" t="n">
        <f aca="false">IF(F1007=0,"n/a",D1007/F1007)</f>
        <v>0.5</v>
      </c>
    </row>
    <row r="1008" customFormat="false" ht="15" hidden="false" customHeight="true" outlineLevel="0" collapsed="false">
      <c r="A1008" s="7" t="s">
        <v>149</v>
      </c>
      <c r="B1008" s="7" t="s">
        <v>1184</v>
      </c>
      <c r="C1008" s="7" t="s">
        <v>107</v>
      </c>
      <c r="D1008" s="8" t="n">
        <v>1</v>
      </c>
      <c r="E1008" s="8" t="n">
        <v>0</v>
      </c>
      <c r="F1008" s="8" t="n">
        <f aca="false">D1008+E1008</f>
        <v>1</v>
      </c>
      <c r="G1008" s="23" t="n">
        <f aca="false">IF(F1008=0,"n/a",D1008/F1008)</f>
        <v>1</v>
      </c>
    </row>
    <row r="1009" customFormat="false" ht="15" hidden="false" customHeight="true" outlineLevel="0" collapsed="false">
      <c r="A1009" s="7" t="s">
        <v>149</v>
      </c>
      <c r="B1009" s="7" t="s">
        <v>1185</v>
      </c>
      <c r="C1009" s="7" t="s">
        <v>107</v>
      </c>
      <c r="D1009" s="8" t="n">
        <v>0</v>
      </c>
      <c r="E1009" s="8" t="n">
        <v>1</v>
      </c>
      <c r="F1009" s="8" t="n">
        <f aca="false">D1009+E1009</f>
        <v>1</v>
      </c>
      <c r="G1009" s="23" t="n">
        <f aca="false">IF(F1009=0,"n/a",D1009/F1009)</f>
        <v>0</v>
      </c>
    </row>
    <row r="1010" customFormat="false" ht="15" hidden="false" customHeight="true" outlineLevel="0" collapsed="false">
      <c r="A1010" s="7" t="s">
        <v>86</v>
      </c>
      <c r="B1010" s="7" t="s">
        <v>838</v>
      </c>
      <c r="C1010" s="7" t="s">
        <v>150</v>
      </c>
      <c r="D1010" s="15" t="n">
        <v>12</v>
      </c>
      <c r="E1010" s="15" t="n">
        <v>5</v>
      </c>
      <c r="F1010" s="8" t="n">
        <f aca="false">D1010+E1010</f>
        <v>17</v>
      </c>
      <c r="G1010" s="23" t="n">
        <f aca="false">IF(F1010=0,"n/a",D1010/F1010)</f>
        <v>0.705882352941177</v>
      </c>
    </row>
    <row r="1011" customFormat="false" ht="15" hidden="false" customHeight="true" outlineLevel="0" collapsed="false">
      <c r="A1011" s="7" t="s">
        <v>86</v>
      </c>
      <c r="B1011" s="7" t="s">
        <v>1186</v>
      </c>
      <c r="C1011" s="7" t="s">
        <v>150</v>
      </c>
      <c r="D1011" s="8" t="n">
        <v>9</v>
      </c>
      <c r="E1011" s="8" t="n">
        <v>1</v>
      </c>
      <c r="F1011" s="8" t="n">
        <f aca="false">D1011+E1011</f>
        <v>10</v>
      </c>
      <c r="G1011" s="23" t="n">
        <f aca="false">IF(F1011=0,"n/a",D1011/F1011)</f>
        <v>0.9</v>
      </c>
    </row>
    <row r="1012" customFormat="false" ht="15" hidden="false" customHeight="true" outlineLevel="0" collapsed="false">
      <c r="A1012" s="7" t="s">
        <v>86</v>
      </c>
      <c r="B1012" s="7" t="s">
        <v>1187</v>
      </c>
      <c r="C1012" s="7" t="s">
        <v>150</v>
      </c>
      <c r="D1012" s="15" t="n">
        <v>2</v>
      </c>
      <c r="E1012" s="15" t="n">
        <v>6</v>
      </c>
      <c r="F1012" s="8" t="n">
        <f aca="false">D1012+E1012</f>
        <v>8</v>
      </c>
      <c r="G1012" s="23" t="n">
        <f aca="false">IF(F1012=0,"n/a",D1012/F1012)</f>
        <v>0.25</v>
      </c>
    </row>
    <row r="1013" customFormat="false" ht="15" hidden="false" customHeight="true" outlineLevel="0" collapsed="false">
      <c r="A1013" s="7" t="s">
        <v>86</v>
      </c>
      <c r="B1013" s="7" t="s">
        <v>297</v>
      </c>
      <c r="C1013" s="7" t="s">
        <v>150</v>
      </c>
      <c r="D1013" s="8" t="n">
        <v>0</v>
      </c>
      <c r="E1013" s="8" t="n">
        <v>8</v>
      </c>
      <c r="F1013" s="8" t="n">
        <f aca="false">D1013+E1013</f>
        <v>8</v>
      </c>
      <c r="G1013" s="23" t="n">
        <f aca="false">IF(F1013=0,"n/a",D1013/F1013)</f>
        <v>0</v>
      </c>
    </row>
    <row r="1014" customFormat="false" ht="15" hidden="false" customHeight="true" outlineLevel="0" collapsed="false">
      <c r="A1014" s="7" t="s">
        <v>86</v>
      </c>
      <c r="B1014" s="7" t="s">
        <v>1188</v>
      </c>
      <c r="C1014" s="7" t="s">
        <v>150</v>
      </c>
      <c r="D1014" s="15" t="n">
        <v>0</v>
      </c>
      <c r="E1014" s="15" t="n">
        <v>6</v>
      </c>
      <c r="F1014" s="8" t="n">
        <f aca="false">D1014+E1014</f>
        <v>6</v>
      </c>
      <c r="G1014" s="23" t="n">
        <f aca="false">IF(F1014=0,"n/a",D1014/F1014)</f>
        <v>0</v>
      </c>
    </row>
    <row r="1015" customFormat="false" ht="15" hidden="false" customHeight="true" outlineLevel="0" collapsed="false">
      <c r="A1015" s="7" t="s">
        <v>86</v>
      </c>
      <c r="B1015" s="7" t="s">
        <v>1189</v>
      </c>
      <c r="C1015" s="7" t="s">
        <v>150</v>
      </c>
      <c r="D1015" s="8" t="n">
        <v>0</v>
      </c>
      <c r="E1015" s="8" t="n">
        <v>6</v>
      </c>
      <c r="F1015" s="8" t="n">
        <f aca="false">D1015+E1015</f>
        <v>6</v>
      </c>
      <c r="G1015" s="23" t="n">
        <f aca="false">IF(F1015=0,"n/a",D1015/F1015)</f>
        <v>0</v>
      </c>
    </row>
    <row r="1016" customFormat="false" ht="15" hidden="false" customHeight="true" outlineLevel="0" collapsed="false">
      <c r="A1016" s="7" t="s">
        <v>86</v>
      </c>
      <c r="B1016" s="7" t="s">
        <v>1153</v>
      </c>
      <c r="C1016" s="7" t="s">
        <v>150</v>
      </c>
      <c r="D1016" s="8" t="n">
        <v>0</v>
      </c>
      <c r="E1016" s="8" t="n">
        <v>5</v>
      </c>
      <c r="F1016" s="8" t="n">
        <f aca="false">D1016+E1016</f>
        <v>5</v>
      </c>
      <c r="G1016" s="23" t="n">
        <f aca="false">IF(F1016=0,"n/a",D1016/F1016)</f>
        <v>0</v>
      </c>
    </row>
    <row r="1017" customFormat="false" ht="15" hidden="false" customHeight="true" outlineLevel="0" collapsed="false">
      <c r="A1017" s="7" t="s">
        <v>86</v>
      </c>
      <c r="B1017" s="7" t="s">
        <v>1190</v>
      </c>
      <c r="C1017" s="7" t="s">
        <v>150</v>
      </c>
      <c r="D1017" s="8" t="n">
        <v>4</v>
      </c>
      <c r="E1017" s="8" t="n">
        <v>0</v>
      </c>
      <c r="F1017" s="8" t="n">
        <f aca="false">D1017+E1017</f>
        <v>4</v>
      </c>
      <c r="G1017" s="23" t="n">
        <f aca="false">IF(F1017=0,"n/a",D1017/F1017)</f>
        <v>1</v>
      </c>
    </row>
    <row r="1018" customFormat="false" ht="15" hidden="false" customHeight="true" outlineLevel="0" collapsed="false">
      <c r="A1018" s="7" t="s">
        <v>86</v>
      </c>
      <c r="B1018" s="7" t="s">
        <v>896</v>
      </c>
      <c r="C1018" s="7" t="s">
        <v>150</v>
      </c>
      <c r="D1018" s="8" t="n">
        <v>1</v>
      </c>
      <c r="E1018" s="8" t="n">
        <v>3</v>
      </c>
      <c r="F1018" s="8" t="n">
        <f aca="false">D1018+E1018</f>
        <v>4</v>
      </c>
      <c r="G1018" s="23" t="n">
        <f aca="false">IF(F1018=0,"n/a",D1018/F1018)</f>
        <v>0.25</v>
      </c>
    </row>
    <row r="1019" customFormat="false" ht="15" hidden="false" customHeight="true" outlineLevel="0" collapsed="false">
      <c r="A1019" s="7" t="s">
        <v>86</v>
      </c>
      <c r="B1019" s="7" t="s">
        <v>1191</v>
      </c>
      <c r="C1019" s="7" t="s">
        <v>150</v>
      </c>
      <c r="D1019" s="8" t="n">
        <v>0</v>
      </c>
      <c r="E1019" s="8" t="n">
        <v>4</v>
      </c>
      <c r="F1019" s="8" t="n">
        <f aca="false">D1019+E1019</f>
        <v>4</v>
      </c>
      <c r="G1019" s="23" t="n">
        <f aca="false">IF(F1019=0,"n/a",D1019/F1019)</f>
        <v>0</v>
      </c>
    </row>
    <row r="1020" customFormat="false" ht="15" hidden="false" customHeight="true" outlineLevel="0" collapsed="false">
      <c r="A1020" s="7" t="s">
        <v>86</v>
      </c>
      <c r="B1020" s="7" t="s">
        <v>1192</v>
      </c>
      <c r="C1020" s="7" t="s">
        <v>150</v>
      </c>
      <c r="D1020" s="8" t="n">
        <v>0</v>
      </c>
      <c r="E1020" s="8" t="n">
        <v>3</v>
      </c>
      <c r="F1020" s="8" t="n">
        <f aca="false">D1020+E1020</f>
        <v>3</v>
      </c>
      <c r="G1020" s="23" t="n">
        <f aca="false">IF(F1020=0,"n/a",D1020/F1020)</f>
        <v>0</v>
      </c>
    </row>
    <row r="1021" customFormat="false" ht="15" hidden="false" customHeight="true" outlineLevel="0" collapsed="false">
      <c r="A1021" s="7" t="s">
        <v>86</v>
      </c>
      <c r="B1021" s="7" t="s">
        <v>1193</v>
      </c>
      <c r="C1021" s="7" t="s">
        <v>150</v>
      </c>
      <c r="D1021" s="8" t="n">
        <v>3</v>
      </c>
      <c r="E1021" s="8" t="n">
        <v>0</v>
      </c>
      <c r="F1021" s="8" t="n">
        <f aca="false">D1021+E1021</f>
        <v>3</v>
      </c>
      <c r="G1021" s="23" t="n">
        <f aca="false">IF(F1021=0,"n/a",D1021/F1021)</f>
        <v>1</v>
      </c>
    </row>
    <row r="1022" customFormat="false" ht="15" hidden="false" customHeight="true" outlineLevel="0" collapsed="false">
      <c r="A1022" s="7" t="s">
        <v>86</v>
      </c>
      <c r="B1022" s="7" t="s">
        <v>1194</v>
      </c>
      <c r="C1022" s="7" t="s">
        <v>150</v>
      </c>
      <c r="D1022" s="8" t="n">
        <v>0</v>
      </c>
      <c r="E1022" s="8" t="n">
        <v>3</v>
      </c>
      <c r="F1022" s="8" t="n">
        <f aca="false">D1022+E1022</f>
        <v>3</v>
      </c>
      <c r="G1022" s="23" t="n">
        <f aca="false">IF(F1022=0,"n/a",D1022/F1022)</f>
        <v>0</v>
      </c>
    </row>
    <row r="1023" customFormat="false" ht="15" hidden="false" customHeight="true" outlineLevel="0" collapsed="false">
      <c r="A1023" s="7" t="s">
        <v>86</v>
      </c>
      <c r="B1023" s="7" t="s">
        <v>1195</v>
      </c>
      <c r="C1023" s="7" t="s">
        <v>150</v>
      </c>
      <c r="D1023" s="8" t="n">
        <v>0</v>
      </c>
      <c r="E1023" s="8" t="n">
        <v>2</v>
      </c>
      <c r="F1023" s="8" t="n">
        <f aca="false">D1023+E1023</f>
        <v>2</v>
      </c>
      <c r="G1023" s="23" t="n">
        <f aca="false">IF(F1023=0,"n/a",D1023/F1023)</f>
        <v>0</v>
      </c>
    </row>
    <row r="1024" customFormat="false" ht="15" hidden="false" customHeight="true" outlineLevel="0" collapsed="false">
      <c r="A1024" s="7" t="s">
        <v>86</v>
      </c>
      <c r="B1024" s="7" t="s">
        <v>316</v>
      </c>
      <c r="C1024" s="7" t="s">
        <v>150</v>
      </c>
      <c r="D1024" s="8" t="n">
        <v>0</v>
      </c>
      <c r="E1024" s="8" t="n">
        <v>2</v>
      </c>
      <c r="F1024" s="8" t="n">
        <f aca="false">D1024+E1024</f>
        <v>2</v>
      </c>
      <c r="G1024" s="23" t="n">
        <f aca="false">IF(F1024=0,"n/a",D1024/F1024)</f>
        <v>0</v>
      </c>
    </row>
    <row r="1025" customFormat="false" ht="15" hidden="false" customHeight="true" outlineLevel="0" collapsed="false">
      <c r="A1025" s="7" t="s">
        <v>86</v>
      </c>
      <c r="B1025" s="7" t="s">
        <v>1196</v>
      </c>
      <c r="C1025" s="7" t="s">
        <v>150</v>
      </c>
      <c r="D1025" s="8" t="n">
        <v>0</v>
      </c>
      <c r="E1025" s="8" t="n">
        <v>2</v>
      </c>
      <c r="F1025" s="8" t="n">
        <f aca="false">D1025+E1025</f>
        <v>2</v>
      </c>
      <c r="G1025" s="23" t="n">
        <f aca="false">IF(F1025=0,"n/a",D1025/F1025)</f>
        <v>0</v>
      </c>
    </row>
    <row r="1026" customFormat="false" ht="15" hidden="false" customHeight="true" outlineLevel="0" collapsed="false">
      <c r="A1026" s="7" t="s">
        <v>86</v>
      </c>
      <c r="B1026" s="7" t="s">
        <v>1197</v>
      </c>
      <c r="C1026" s="7" t="s">
        <v>150</v>
      </c>
      <c r="D1026" s="8" t="n">
        <v>0</v>
      </c>
      <c r="E1026" s="8" t="n">
        <v>2</v>
      </c>
      <c r="F1026" s="8" t="n">
        <f aca="false">D1026+E1026</f>
        <v>2</v>
      </c>
      <c r="G1026" s="23" t="n">
        <f aca="false">IF(F1026=0,"n/a",D1026/F1026)</f>
        <v>0</v>
      </c>
    </row>
    <row r="1027" customFormat="false" ht="15" hidden="false" customHeight="true" outlineLevel="0" collapsed="false">
      <c r="A1027" s="7" t="s">
        <v>86</v>
      </c>
      <c r="B1027" s="7" t="s">
        <v>1198</v>
      </c>
      <c r="C1027" s="7" t="s">
        <v>150</v>
      </c>
      <c r="D1027" s="8" t="n">
        <v>0</v>
      </c>
      <c r="E1027" s="8" t="n">
        <v>2</v>
      </c>
      <c r="F1027" s="8" t="n">
        <f aca="false">D1027+E1027</f>
        <v>2</v>
      </c>
      <c r="G1027" s="23" t="n">
        <f aca="false">IF(F1027=0,"n/a",D1027/F1027)</f>
        <v>0</v>
      </c>
    </row>
    <row r="1028" customFormat="false" ht="15" hidden="false" customHeight="true" outlineLevel="0" collapsed="false">
      <c r="A1028" s="7" t="s">
        <v>86</v>
      </c>
      <c r="B1028" s="7" t="s">
        <v>685</v>
      </c>
      <c r="C1028" s="7" t="s">
        <v>150</v>
      </c>
      <c r="D1028" s="8" t="n">
        <v>0</v>
      </c>
      <c r="E1028" s="8" t="n">
        <v>1</v>
      </c>
      <c r="F1028" s="8" t="n">
        <f aca="false">D1028+E1028</f>
        <v>1</v>
      </c>
      <c r="G1028" s="23" t="n">
        <f aca="false">IF(F1028=0,"n/a",D1028/F1028)</f>
        <v>0</v>
      </c>
    </row>
    <row r="1029" customFormat="false" ht="15" hidden="false" customHeight="true" outlineLevel="0" collapsed="false">
      <c r="A1029" s="7" t="s">
        <v>86</v>
      </c>
      <c r="B1029" s="7" t="s">
        <v>727</v>
      </c>
      <c r="C1029" s="7" t="s">
        <v>150</v>
      </c>
      <c r="D1029" s="8" t="n">
        <v>0</v>
      </c>
      <c r="E1029" s="8" t="n">
        <v>1</v>
      </c>
      <c r="F1029" s="8" t="n">
        <f aca="false">D1029+E1029</f>
        <v>1</v>
      </c>
      <c r="G1029" s="23" t="n">
        <f aca="false">IF(F1029=0,"n/a",D1029/F1029)</f>
        <v>0</v>
      </c>
    </row>
    <row r="1030" customFormat="false" ht="15" hidden="false" customHeight="true" outlineLevel="0" collapsed="false">
      <c r="A1030" s="7" t="s">
        <v>86</v>
      </c>
      <c r="B1030" s="7" t="s">
        <v>722</v>
      </c>
      <c r="C1030" s="7" t="s">
        <v>150</v>
      </c>
      <c r="D1030" s="8" t="n">
        <v>0</v>
      </c>
      <c r="E1030" s="8" t="n">
        <v>1</v>
      </c>
      <c r="F1030" s="8" t="n">
        <f aca="false">D1030+E1030</f>
        <v>1</v>
      </c>
      <c r="G1030" s="23" t="n">
        <f aca="false">IF(F1030=0,"n/a",D1030/F1030)</f>
        <v>0</v>
      </c>
    </row>
    <row r="1031" customFormat="false" ht="15" hidden="false" customHeight="true" outlineLevel="0" collapsed="false">
      <c r="A1031" s="7" t="s">
        <v>86</v>
      </c>
      <c r="B1031" s="7" t="s">
        <v>1199</v>
      </c>
      <c r="C1031" s="7" t="s">
        <v>150</v>
      </c>
      <c r="D1031" s="8" t="n">
        <v>0</v>
      </c>
      <c r="E1031" s="8" t="n">
        <v>1</v>
      </c>
      <c r="F1031" s="8" t="n">
        <f aca="false">D1031+E1031</f>
        <v>1</v>
      </c>
      <c r="G1031" s="23" t="n">
        <f aca="false">IF(F1031=0,"n/a",D1031/F1031)</f>
        <v>0</v>
      </c>
    </row>
    <row r="1032" customFormat="false" ht="15" hidden="false" customHeight="true" outlineLevel="0" collapsed="false">
      <c r="A1032" s="7" t="s">
        <v>86</v>
      </c>
      <c r="B1032" s="7" t="s">
        <v>1200</v>
      </c>
      <c r="C1032" s="7" t="s">
        <v>150</v>
      </c>
      <c r="D1032" s="8" t="n">
        <v>0</v>
      </c>
      <c r="E1032" s="8" t="n">
        <v>1</v>
      </c>
      <c r="F1032" s="8" t="n">
        <f aca="false">D1032+E1032</f>
        <v>1</v>
      </c>
      <c r="G1032" s="23" t="n">
        <f aca="false">IF(F1032=0,"n/a",D1032/F1032)</f>
        <v>0</v>
      </c>
    </row>
    <row r="1033" customFormat="false" ht="15" hidden="false" customHeight="true" outlineLevel="0" collapsed="false">
      <c r="A1033" s="7" t="s">
        <v>86</v>
      </c>
      <c r="B1033" s="7" t="s">
        <v>1201</v>
      </c>
      <c r="C1033" s="7" t="s">
        <v>150</v>
      </c>
      <c r="D1033" s="8" t="n">
        <v>0</v>
      </c>
      <c r="E1033" s="8" t="n">
        <v>1</v>
      </c>
      <c r="F1033" s="8" t="n">
        <f aca="false">D1033+E1033</f>
        <v>1</v>
      </c>
      <c r="G1033" s="23" t="n">
        <f aca="false">IF(F1033=0,"n/a",D1033/F1033)</f>
        <v>0</v>
      </c>
    </row>
    <row r="1034" customFormat="false" ht="15" hidden="false" customHeight="true" outlineLevel="0" collapsed="false">
      <c r="A1034" s="7" t="s">
        <v>86</v>
      </c>
      <c r="B1034" s="7" t="s">
        <v>1202</v>
      </c>
      <c r="C1034" s="7" t="s">
        <v>150</v>
      </c>
      <c r="D1034" s="8" t="n">
        <v>1</v>
      </c>
      <c r="E1034" s="8" t="n">
        <v>0</v>
      </c>
      <c r="F1034" s="8" t="n">
        <f aca="false">D1034+E1034</f>
        <v>1</v>
      </c>
      <c r="G1034" s="23" t="n">
        <f aca="false">IF(F1034=0,"n/a",D1034/F1034)</f>
        <v>1</v>
      </c>
    </row>
    <row r="1035" customFormat="false" ht="15" hidden="false" customHeight="true" outlineLevel="0" collapsed="false">
      <c r="A1035" s="7" t="s">
        <v>151</v>
      </c>
      <c r="B1035" s="7" t="s">
        <v>1203</v>
      </c>
      <c r="C1035" s="7" t="s">
        <v>117</v>
      </c>
      <c r="D1035" s="8" t="n">
        <v>18</v>
      </c>
      <c r="E1035" s="8" t="n">
        <v>0</v>
      </c>
      <c r="F1035" s="8" t="n">
        <f aca="false">D1035+E1035</f>
        <v>18</v>
      </c>
      <c r="G1035" s="23" t="n">
        <f aca="false">IF(F1035=0,"n/a",D1035/F1035)</f>
        <v>1</v>
      </c>
    </row>
    <row r="1036" customFormat="false" ht="15" hidden="false" customHeight="true" outlineLevel="0" collapsed="false">
      <c r="A1036" s="7" t="s">
        <v>151</v>
      </c>
      <c r="B1036" s="7" t="s">
        <v>1204</v>
      </c>
      <c r="C1036" s="7" t="s">
        <v>117</v>
      </c>
      <c r="D1036" s="8" t="n">
        <v>4</v>
      </c>
      <c r="E1036" s="8" t="n">
        <v>0</v>
      </c>
      <c r="F1036" s="8" t="n">
        <f aca="false">D1036+E1036</f>
        <v>4</v>
      </c>
      <c r="G1036" s="23" t="n">
        <f aca="false">IF(F1036=0,"n/a",D1036/F1036)</f>
        <v>1</v>
      </c>
    </row>
    <row r="1037" customFormat="false" ht="15" hidden="false" customHeight="true" outlineLevel="0" collapsed="false">
      <c r="A1037" s="7" t="s">
        <v>151</v>
      </c>
      <c r="B1037" s="7" t="s">
        <v>1205</v>
      </c>
      <c r="C1037" s="7" t="s">
        <v>117</v>
      </c>
      <c r="D1037" s="8" t="n">
        <v>0</v>
      </c>
      <c r="E1037" s="8" t="n">
        <v>4</v>
      </c>
      <c r="F1037" s="8" t="n">
        <f aca="false">D1037+E1037</f>
        <v>4</v>
      </c>
      <c r="G1037" s="23" t="n">
        <f aca="false">IF(F1037=0,"n/a",D1037/F1037)</f>
        <v>0</v>
      </c>
    </row>
    <row r="1038" customFormat="false" ht="15" hidden="false" customHeight="true" outlineLevel="0" collapsed="false">
      <c r="A1038" s="7" t="s">
        <v>151</v>
      </c>
      <c r="B1038" s="7" t="s">
        <v>1206</v>
      </c>
      <c r="C1038" s="7" t="s">
        <v>117</v>
      </c>
      <c r="D1038" s="8" t="n">
        <v>2</v>
      </c>
      <c r="E1038" s="8" t="n">
        <v>1</v>
      </c>
      <c r="F1038" s="8" t="n">
        <f aca="false">D1038+E1038</f>
        <v>3</v>
      </c>
      <c r="G1038" s="23" t="n">
        <f aca="false">IF(F1038=0,"n/a",D1038/F1038)</f>
        <v>0.666666666666667</v>
      </c>
    </row>
    <row r="1039" customFormat="false" ht="15" hidden="false" customHeight="true" outlineLevel="0" collapsed="false">
      <c r="A1039" s="7" t="s">
        <v>151</v>
      </c>
      <c r="B1039" s="7" t="s">
        <v>1207</v>
      </c>
      <c r="C1039" s="7" t="s">
        <v>117</v>
      </c>
      <c r="D1039" s="8" t="n">
        <v>1</v>
      </c>
      <c r="E1039" s="8" t="n">
        <v>1</v>
      </c>
      <c r="F1039" s="8" t="n">
        <f aca="false">D1039+E1039</f>
        <v>2</v>
      </c>
      <c r="G1039" s="23" t="n">
        <f aca="false">IF(F1039=0,"n/a",D1039/F1039)</f>
        <v>0.5</v>
      </c>
    </row>
    <row r="1040" customFormat="false" ht="15" hidden="false" customHeight="true" outlineLevel="0" collapsed="false">
      <c r="A1040" s="7" t="s">
        <v>151</v>
      </c>
      <c r="B1040" s="7" t="s">
        <v>1208</v>
      </c>
      <c r="C1040" s="7" t="s">
        <v>117</v>
      </c>
      <c r="D1040" s="8" t="n">
        <v>1</v>
      </c>
      <c r="E1040" s="8" t="n">
        <v>0</v>
      </c>
      <c r="F1040" s="8" t="n">
        <f aca="false">D1040+E1040</f>
        <v>1</v>
      </c>
      <c r="G1040" s="23" t="n">
        <f aca="false">IF(F1040=0,"n/a",D1040/F1040)</f>
        <v>1</v>
      </c>
    </row>
    <row r="1041" customFormat="false" ht="15" hidden="false" customHeight="true" outlineLevel="0" collapsed="false">
      <c r="A1041" s="7" t="s">
        <v>151</v>
      </c>
      <c r="B1041" s="7" t="s">
        <v>1042</v>
      </c>
      <c r="C1041" s="7" t="s">
        <v>117</v>
      </c>
      <c r="D1041" s="8" t="n">
        <v>1</v>
      </c>
      <c r="E1041" s="8" t="n">
        <v>0</v>
      </c>
      <c r="F1041" s="8" t="n">
        <f aca="false">D1041+E1041</f>
        <v>1</v>
      </c>
      <c r="G1041" s="23" t="n">
        <f aca="false">IF(F1041=0,"n/a",D1041/F1041)</f>
        <v>1</v>
      </c>
    </row>
    <row r="1042" customFormat="false" ht="15" hidden="false" customHeight="true" outlineLevel="0" collapsed="false">
      <c r="A1042" s="7" t="s">
        <v>152</v>
      </c>
      <c r="B1042" s="7" t="s">
        <v>1209</v>
      </c>
      <c r="C1042" s="7" t="s">
        <v>153</v>
      </c>
      <c r="D1042" s="8" t="n">
        <v>2</v>
      </c>
      <c r="E1042" s="8" t="n">
        <v>19</v>
      </c>
      <c r="F1042" s="8" t="n">
        <f aca="false">D1042+E1042</f>
        <v>21</v>
      </c>
      <c r="G1042" s="23" t="n">
        <f aca="false">IF(F1042=0,"n/a",D1042/F1042)</f>
        <v>0.0952380952380952</v>
      </c>
    </row>
    <row r="1043" customFormat="false" ht="15" hidden="false" customHeight="true" outlineLevel="0" collapsed="false">
      <c r="A1043" s="7" t="s">
        <v>152</v>
      </c>
      <c r="B1043" s="7" t="s">
        <v>1210</v>
      </c>
      <c r="C1043" s="7" t="s">
        <v>153</v>
      </c>
      <c r="D1043" s="8" t="n">
        <v>3</v>
      </c>
      <c r="E1043" s="8" t="n">
        <v>9</v>
      </c>
      <c r="F1043" s="8" t="n">
        <f aca="false">D1043+E1043</f>
        <v>12</v>
      </c>
      <c r="G1043" s="23" t="n">
        <f aca="false">IF(F1043=0,"n/a",D1043/F1043)</f>
        <v>0.25</v>
      </c>
    </row>
    <row r="1044" customFormat="false" ht="15" hidden="false" customHeight="true" outlineLevel="0" collapsed="false">
      <c r="A1044" s="7" t="s">
        <v>152</v>
      </c>
      <c r="B1044" s="7" t="s">
        <v>1211</v>
      </c>
      <c r="C1044" s="7" t="s">
        <v>153</v>
      </c>
      <c r="D1044" s="8" t="n">
        <v>8</v>
      </c>
      <c r="E1044" s="8" t="n">
        <v>4</v>
      </c>
      <c r="F1044" s="8" t="n">
        <f aca="false">D1044+E1044</f>
        <v>12</v>
      </c>
      <c r="G1044" s="23" t="n">
        <f aca="false">IF(F1044=0,"n/a",D1044/F1044)</f>
        <v>0.666666666666667</v>
      </c>
    </row>
    <row r="1045" customFormat="false" ht="15" hidden="false" customHeight="true" outlineLevel="0" collapsed="false">
      <c r="A1045" s="7" t="s">
        <v>152</v>
      </c>
      <c r="B1045" s="7" t="s">
        <v>839</v>
      </c>
      <c r="C1045" s="7" t="s">
        <v>153</v>
      </c>
      <c r="D1045" s="8" t="n">
        <v>1</v>
      </c>
      <c r="E1045" s="8" t="n">
        <v>7</v>
      </c>
      <c r="F1045" s="8" t="n">
        <f aca="false">D1045+E1045</f>
        <v>8</v>
      </c>
      <c r="G1045" s="23" t="n">
        <f aca="false">IF(F1045=0,"n/a",D1045/F1045)</f>
        <v>0.125</v>
      </c>
    </row>
    <row r="1046" customFormat="false" ht="15" hidden="false" customHeight="true" outlineLevel="0" collapsed="false">
      <c r="A1046" s="7" t="s">
        <v>152</v>
      </c>
      <c r="B1046" s="7" t="s">
        <v>1212</v>
      </c>
      <c r="C1046" s="7" t="s">
        <v>153</v>
      </c>
      <c r="D1046" s="8" t="n">
        <v>3</v>
      </c>
      <c r="E1046" s="8" t="n">
        <v>3</v>
      </c>
      <c r="F1046" s="8" t="n">
        <f aca="false">D1046+E1046</f>
        <v>6</v>
      </c>
      <c r="G1046" s="23" t="n">
        <f aca="false">IF(F1046=0,"n/a",D1046/F1046)</f>
        <v>0.5</v>
      </c>
    </row>
    <row r="1047" customFormat="false" ht="15" hidden="false" customHeight="true" outlineLevel="0" collapsed="false">
      <c r="A1047" s="7" t="s">
        <v>152</v>
      </c>
      <c r="B1047" s="7" t="s">
        <v>494</v>
      </c>
      <c r="C1047" s="7" t="s">
        <v>153</v>
      </c>
      <c r="D1047" s="8" t="n">
        <v>0</v>
      </c>
      <c r="E1047" s="8" t="n">
        <v>5</v>
      </c>
      <c r="F1047" s="8" t="n">
        <f aca="false">D1047+E1047</f>
        <v>5</v>
      </c>
      <c r="G1047" s="23" t="n">
        <f aca="false">IF(F1047=0,"n/a",D1047/F1047)</f>
        <v>0</v>
      </c>
    </row>
    <row r="1048" customFormat="false" ht="15" hidden="false" customHeight="true" outlineLevel="0" collapsed="false">
      <c r="A1048" s="7" t="s">
        <v>152</v>
      </c>
      <c r="B1048" s="7" t="s">
        <v>1213</v>
      </c>
      <c r="C1048" s="7" t="s">
        <v>153</v>
      </c>
      <c r="D1048" s="8" t="n">
        <v>5</v>
      </c>
      <c r="E1048" s="8" t="n">
        <v>0</v>
      </c>
      <c r="F1048" s="8" t="n">
        <f aca="false">D1048+E1048</f>
        <v>5</v>
      </c>
      <c r="G1048" s="23" t="n">
        <f aca="false">IF(F1048=0,"n/a",D1048/F1048)</f>
        <v>1</v>
      </c>
    </row>
    <row r="1049" customFormat="false" ht="15" hidden="false" customHeight="true" outlineLevel="0" collapsed="false">
      <c r="A1049" s="7" t="s">
        <v>152</v>
      </c>
      <c r="B1049" s="7" t="s">
        <v>1214</v>
      </c>
      <c r="C1049" s="7" t="s">
        <v>153</v>
      </c>
      <c r="D1049" s="8" t="n">
        <v>4</v>
      </c>
      <c r="E1049" s="8" t="n">
        <v>0</v>
      </c>
      <c r="F1049" s="8" t="n">
        <f aca="false">D1049+E1049</f>
        <v>4</v>
      </c>
      <c r="G1049" s="23" t="n">
        <f aca="false">IF(F1049=0,"n/a",D1049/F1049)</f>
        <v>1</v>
      </c>
    </row>
    <row r="1050" customFormat="false" ht="15" hidden="false" customHeight="true" outlineLevel="0" collapsed="false">
      <c r="A1050" s="7" t="s">
        <v>152</v>
      </c>
      <c r="B1050" s="7" t="s">
        <v>1215</v>
      </c>
      <c r="C1050" s="7" t="s">
        <v>153</v>
      </c>
      <c r="D1050" s="8" t="n">
        <v>0</v>
      </c>
      <c r="E1050" s="8" t="n">
        <v>4</v>
      </c>
      <c r="F1050" s="8" t="n">
        <f aca="false">D1050+E1050</f>
        <v>4</v>
      </c>
      <c r="G1050" s="23" t="n">
        <f aca="false">IF(F1050=0,"n/a",D1050/F1050)</f>
        <v>0</v>
      </c>
    </row>
    <row r="1051" customFormat="false" ht="15" hidden="false" customHeight="true" outlineLevel="0" collapsed="false">
      <c r="A1051" s="7" t="s">
        <v>152</v>
      </c>
      <c r="B1051" s="7" t="s">
        <v>1216</v>
      </c>
      <c r="C1051" s="7" t="s">
        <v>153</v>
      </c>
      <c r="D1051" s="8" t="n">
        <v>0</v>
      </c>
      <c r="E1051" s="8" t="n">
        <v>3</v>
      </c>
      <c r="F1051" s="8" t="n">
        <f aca="false">D1051+E1051</f>
        <v>3</v>
      </c>
      <c r="G1051" s="23" t="n">
        <f aca="false">IF(F1051=0,"n/a",D1051/F1051)</f>
        <v>0</v>
      </c>
    </row>
    <row r="1052" customFormat="false" ht="15" hidden="false" customHeight="true" outlineLevel="0" collapsed="false">
      <c r="A1052" s="7" t="s">
        <v>152</v>
      </c>
      <c r="B1052" s="7" t="s">
        <v>678</v>
      </c>
      <c r="C1052" s="7" t="s">
        <v>153</v>
      </c>
      <c r="D1052" s="8" t="n">
        <v>0</v>
      </c>
      <c r="E1052" s="8" t="n">
        <v>3</v>
      </c>
      <c r="F1052" s="8" t="n">
        <f aca="false">D1052+E1052</f>
        <v>3</v>
      </c>
      <c r="G1052" s="23" t="n">
        <f aca="false">IF(F1052=0,"n/a",D1052/F1052)</f>
        <v>0</v>
      </c>
    </row>
    <row r="1053" customFormat="false" ht="15" hidden="false" customHeight="true" outlineLevel="0" collapsed="false">
      <c r="A1053" s="7" t="s">
        <v>152</v>
      </c>
      <c r="B1053" s="7" t="s">
        <v>1048</v>
      </c>
      <c r="C1053" s="7" t="s">
        <v>153</v>
      </c>
      <c r="D1053" s="8" t="n">
        <v>0</v>
      </c>
      <c r="E1053" s="8" t="n">
        <v>2</v>
      </c>
      <c r="F1053" s="8" t="n">
        <f aca="false">D1053+E1053</f>
        <v>2</v>
      </c>
      <c r="G1053" s="23" t="n">
        <f aca="false">IF(F1053=0,"n/a",D1053/F1053)</f>
        <v>0</v>
      </c>
    </row>
    <row r="1054" customFormat="false" ht="15" hidden="false" customHeight="true" outlineLevel="0" collapsed="false">
      <c r="A1054" s="7" t="s">
        <v>152</v>
      </c>
      <c r="B1054" s="7" t="s">
        <v>896</v>
      </c>
      <c r="C1054" s="7" t="s">
        <v>153</v>
      </c>
      <c r="D1054" s="8" t="n">
        <v>2</v>
      </c>
      <c r="E1054" s="8" t="n">
        <v>0</v>
      </c>
      <c r="F1054" s="8" t="n">
        <f aca="false">D1054+E1054</f>
        <v>2</v>
      </c>
      <c r="G1054" s="23" t="n">
        <f aca="false">IF(F1054=0,"n/a",D1054/F1054)</f>
        <v>1</v>
      </c>
    </row>
    <row r="1055" customFormat="false" ht="15" hidden="false" customHeight="true" outlineLevel="0" collapsed="false">
      <c r="A1055" s="7" t="s">
        <v>152</v>
      </c>
      <c r="B1055" s="7" t="s">
        <v>1217</v>
      </c>
      <c r="C1055" s="7" t="s">
        <v>153</v>
      </c>
      <c r="D1055" s="8" t="n">
        <v>2</v>
      </c>
      <c r="E1055" s="8" t="n">
        <v>0</v>
      </c>
      <c r="F1055" s="8" t="n">
        <f aca="false">D1055+E1055</f>
        <v>2</v>
      </c>
      <c r="G1055" s="23" t="n">
        <f aca="false">IF(F1055=0,"n/a",D1055/F1055)</f>
        <v>1</v>
      </c>
    </row>
    <row r="1056" customFormat="false" ht="15" hidden="false" customHeight="true" outlineLevel="0" collapsed="false">
      <c r="A1056" s="7" t="s">
        <v>152</v>
      </c>
      <c r="B1056" s="7" t="s">
        <v>1218</v>
      </c>
      <c r="C1056" s="7" t="s">
        <v>153</v>
      </c>
      <c r="D1056" s="8" t="n">
        <v>2</v>
      </c>
      <c r="E1056" s="8" t="n">
        <v>0</v>
      </c>
      <c r="F1056" s="8" t="n">
        <f aca="false">D1056+E1056</f>
        <v>2</v>
      </c>
      <c r="G1056" s="23" t="n">
        <f aca="false">IF(F1056=0,"n/a",D1056/F1056)</f>
        <v>1</v>
      </c>
    </row>
    <row r="1057" customFormat="false" ht="15" hidden="false" customHeight="true" outlineLevel="0" collapsed="false">
      <c r="A1057" s="7" t="s">
        <v>152</v>
      </c>
      <c r="B1057" s="7" t="s">
        <v>1040</v>
      </c>
      <c r="C1057" s="7" t="s">
        <v>153</v>
      </c>
      <c r="D1057" s="8" t="n">
        <v>0</v>
      </c>
      <c r="E1057" s="8" t="n">
        <v>2</v>
      </c>
      <c r="F1057" s="8" t="n">
        <f aca="false">D1057+E1057</f>
        <v>2</v>
      </c>
      <c r="G1057" s="23" t="n">
        <f aca="false">IF(F1057=0,"n/a",D1057/F1057)</f>
        <v>0</v>
      </c>
    </row>
    <row r="1058" customFormat="false" ht="15" hidden="false" customHeight="true" outlineLevel="0" collapsed="false">
      <c r="A1058" s="7" t="s">
        <v>152</v>
      </c>
      <c r="B1058" s="7" t="s">
        <v>1219</v>
      </c>
      <c r="C1058" s="7" t="s">
        <v>153</v>
      </c>
      <c r="D1058" s="8" t="n">
        <v>1</v>
      </c>
      <c r="E1058" s="8" t="n">
        <v>1</v>
      </c>
      <c r="F1058" s="8" t="n">
        <f aca="false">D1058+E1058</f>
        <v>2</v>
      </c>
      <c r="G1058" s="23" t="n">
        <f aca="false">IF(F1058=0,"n/a",D1058/F1058)</f>
        <v>0.5</v>
      </c>
    </row>
    <row r="1059" customFormat="false" ht="15" hidden="false" customHeight="true" outlineLevel="0" collapsed="false">
      <c r="A1059" s="7" t="s">
        <v>152</v>
      </c>
      <c r="B1059" s="7" t="s">
        <v>1220</v>
      </c>
      <c r="C1059" s="7" t="s">
        <v>153</v>
      </c>
      <c r="D1059" s="8" t="n">
        <v>0</v>
      </c>
      <c r="E1059" s="8" t="n">
        <v>2</v>
      </c>
      <c r="F1059" s="8" t="n">
        <f aca="false">D1059+E1059</f>
        <v>2</v>
      </c>
      <c r="G1059" s="23" t="n">
        <f aca="false">IF(F1059=0,"n/a",D1059/F1059)</f>
        <v>0</v>
      </c>
    </row>
    <row r="1060" customFormat="false" ht="15" hidden="false" customHeight="true" outlineLevel="0" collapsed="false">
      <c r="A1060" s="7" t="s">
        <v>152</v>
      </c>
      <c r="B1060" s="7" t="s">
        <v>306</v>
      </c>
      <c r="C1060" s="7" t="s">
        <v>153</v>
      </c>
      <c r="D1060" s="8" t="n">
        <v>1</v>
      </c>
      <c r="E1060" s="8" t="n">
        <v>0</v>
      </c>
      <c r="F1060" s="8" t="n">
        <f aca="false">D1060+E1060</f>
        <v>1</v>
      </c>
      <c r="G1060" s="23" t="n">
        <f aca="false">IF(F1060=0,"n/a",D1060/F1060)</f>
        <v>1</v>
      </c>
    </row>
    <row r="1061" customFormat="false" ht="15" hidden="false" customHeight="true" outlineLevel="0" collapsed="false">
      <c r="A1061" s="7" t="s">
        <v>152</v>
      </c>
      <c r="B1061" s="7" t="s">
        <v>1221</v>
      </c>
      <c r="C1061" s="7" t="s">
        <v>153</v>
      </c>
      <c r="D1061" s="8" t="n">
        <v>0</v>
      </c>
      <c r="E1061" s="8" t="n">
        <v>1</v>
      </c>
      <c r="F1061" s="8" t="n">
        <f aca="false">D1061+E1061</f>
        <v>1</v>
      </c>
      <c r="G1061" s="23" t="n">
        <f aca="false">IF(F1061=0,"n/a",D1061/F1061)</f>
        <v>0</v>
      </c>
    </row>
    <row r="1062" customFormat="false" ht="15" hidden="false" customHeight="true" outlineLevel="0" collapsed="false">
      <c r="A1062" s="7" t="s">
        <v>152</v>
      </c>
      <c r="B1062" s="7" t="s">
        <v>568</v>
      </c>
      <c r="C1062" s="7" t="s">
        <v>153</v>
      </c>
      <c r="D1062" s="8" t="n">
        <v>0</v>
      </c>
      <c r="E1062" s="8" t="n">
        <v>1</v>
      </c>
      <c r="F1062" s="8" t="n">
        <f aca="false">D1062+E1062</f>
        <v>1</v>
      </c>
      <c r="G1062" s="23" t="n">
        <f aca="false">IF(F1062=0,"n/a",D1062/F1062)</f>
        <v>0</v>
      </c>
    </row>
    <row r="1063" customFormat="false" ht="15" hidden="false" customHeight="true" outlineLevel="0" collapsed="false">
      <c r="A1063" s="7" t="s">
        <v>152</v>
      </c>
      <c r="B1063" s="7" t="s">
        <v>1222</v>
      </c>
      <c r="C1063" s="7" t="s">
        <v>153</v>
      </c>
      <c r="D1063" s="8" t="n">
        <v>1</v>
      </c>
      <c r="E1063" s="8" t="n">
        <v>0</v>
      </c>
      <c r="F1063" s="8" t="n">
        <f aca="false">D1063+E1063</f>
        <v>1</v>
      </c>
      <c r="G1063" s="23" t="n">
        <f aca="false">IF(F1063=0,"n/a",D1063/F1063)</f>
        <v>1</v>
      </c>
    </row>
    <row r="1064" customFormat="false" ht="15" hidden="false" customHeight="true" outlineLevel="0" collapsed="false">
      <c r="A1064" s="7" t="s">
        <v>152</v>
      </c>
      <c r="B1064" s="7" t="s">
        <v>1223</v>
      </c>
      <c r="C1064" s="7" t="s">
        <v>153</v>
      </c>
      <c r="D1064" s="8" t="n">
        <v>1</v>
      </c>
      <c r="E1064" s="8" t="n">
        <v>0</v>
      </c>
      <c r="F1064" s="8" t="n">
        <f aca="false">D1064+E1064</f>
        <v>1</v>
      </c>
      <c r="G1064" s="23" t="n">
        <f aca="false">IF(F1064=0,"n/a",D1064/F1064)</f>
        <v>1</v>
      </c>
    </row>
    <row r="1065" customFormat="false" ht="15" hidden="false" customHeight="true" outlineLevel="0" collapsed="false">
      <c r="A1065" s="7" t="s">
        <v>152</v>
      </c>
      <c r="B1065" s="7" t="s">
        <v>315</v>
      </c>
      <c r="C1065" s="7" t="s">
        <v>153</v>
      </c>
      <c r="D1065" s="8" t="n">
        <v>1</v>
      </c>
      <c r="E1065" s="8" t="n">
        <v>0</v>
      </c>
      <c r="F1065" s="8" t="n">
        <f aca="false">D1065+E1065</f>
        <v>1</v>
      </c>
      <c r="G1065" s="23" t="n">
        <f aca="false">IF(F1065=0,"n/a",D1065/F1065)</f>
        <v>1</v>
      </c>
    </row>
    <row r="1066" customFormat="false" ht="15" hidden="false" customHeight="true" outlineLevel="0" collapsed="false">
      <c r="A1066" s="7" t="s">
        <v>152</v>
      </c>
      <c r="B1066" s="7" t="s">
        <v>1095</v>
      </c>
      <c r="C1066" s="7" t="s">
        <v>153</v>
      </c>
      <c r="D1066" s="8" t="n">
        <v>0</v>
      </c>
      <c r="E1066" s="8" t="n">
        <v>1</v>
      </c>
      <c r="F1066" s="8" t="n">
        <f aca="false">D1066+E1066</f>
        <v>1</v>
      </c>
      <c r="G1066" s="23" t="n">
        <f aca="false">IF(F1066=0,"n/a",D1066/F1066)</f>
        <v>0</v>
      </c>
    </row>
    <row r="1067" customFormat="false" ht="15" hidden="false" customHeight="true" outlineLevel="0" collapsed="false">
      <c r="A1067" s="7" t="s">
        <v>152</v>
      </c>
      <c r="B1067" s="7" t="s">
        <v>1224</v>
      </c>
      <c r="C1067" s="7" t="s">
        <v>153</v>
      </c>
      <c r="D1067" s="8" t="n">
        <v>1</v>
      </c>
      <c r="E1067" s="8" t="n">
        <v>0</v>
      </c>
      <c r="F1067" s="8" t="n">
        <f aca="false">D1067+E1067</f>
        <v>1</v>
      </c>
      <c r="G1067" s="23" t="n">
        <f aca="false">IF(F1067=0,"n/a",D1067/F1067)</f>
        <v>1</v>
      </c>
    </row>
    <row r="1068" customFormat="false" ht="15" hidden="false" customHeight="true" outlineLevel="0" collapsed="false">
      <c r="A1068" s="7" t="s">
        <v>152</v>
      </c>
      <c r="B1068" s="7" t="s">
        <v>1225</v>
      </c>
      <c r="C1068" s="7" t="s">
        <v>153</v>
      </c>
      <c r="D1068" s="8" t="n">
        <v>0</v>
      </c>
      <c r="E1068" s="8" t="n">
        <v>1</v>
      </c>
      <c r="F1068" s="8" t="n">
        <f aca="false">D1068+E1068</f>
        <v>1</v>
      </c>
      <c r="G1068" s="23" t="n">
        <f aca="false">IF(F1068=0,"n/a",D1068/F1068)</f>
        <v>0</v>
      </c>
    </row>
    <row r="1069" customFormat="false" ht="15" hidden="false" customHeight="true" outlineLevel="0" collapsed="false">
      <c r="A1069" s="7" t="s">
        <v>152</v>
      </c>
      <c r="B1069" s="7" t="s">
        <v>1226</v>
      </c>
      <c r="C1069" s="7" t="s">
        <v>153</v>
      </c>
      <c r="D1069" s="8" t="n">
        <v>0</v>
      </c>
      <c r="E1069" s="8" t="n">
        <v>1</v>
      </c>
      <c r="F1069" s="8" t="n">
        <f aca="false">D1069+E1069</f>
        <v>1</v>
      </c>
      <c r="G1069" s="23" t="n">
        <f aca="false">IF(F1069=0,"n/a",D1069/F1069)</f>
        <v>0</v>
      </c>
    </row>
    <row r="1070" customFormat="false" ht="15" hidden="false" customHeight="true" outlineLevel="0" collapsed="false">
      <c r="A1070" s="7" t="s">
        <v>152</v>
      </c>
      <c r="B1070" s="7" t="s">
        <v>634</v>
      </c>
      <c r="C1070" s="7" t="s">
        <v>153</v>
      </c>
      <c r="D1070" s="8" t="n">
        <v>0</v>
      </c>
      <c r="E1070" s="8" t="n">
        <v>1</v>
      </c>
      <c r="F1070" s="8" t="n">
        <f aca="false">D1070+E1070</f>
        <v>1</v>
      </c>
      <c r="G1070" s="23" t="n">
        <f aca="false">IF(F1070=0,"n/a",D1070/F1070)</f>
        <v>0</v>
      </c>
    </row>
    <row r="1071" customFormat="false" ht="15" hidden="false" customHeight="true" outlineLevel="0" collapsed="false">
      <c r="A1071" s="7" t="s">
        <v>152</v>
      </c>
      <c r="B1071" s="7" t="s">
        <v>1227</v>
      </c>
      <c r="C1071" s="7" t="s">
        <v>153</v>
      </c>
      <c r="D1071" s="8" t="n">
        <v>0</v>
      </c>
      <c r="E1071" s="8" t="n">
        <v>1</v>
      </c>
      <c r="F1071" s="8" t="n">
        <f aca="false">D1071+E1071</f>
        <v>1</v>
      </c>
      <c r="G1071" s="23" t="n">
        <f aca="false">IF(F1071=0,"n/a",D1071/F1071)</f>
        <v>0</v>
      </c>
    </row>
    <row r="1072" customFormat="false" ht="15" hidden="false" customHeight="true" outlineLevel="0" collapsed="false">
      <c r="A1072" s="7" t="s">
        <v>152</v>
      </c>
      <c r="B1072" s="7" t="s">
        <v>1228</v>
      </c>
      <c r="C1072" s="7" t="s">
        <v>153</v>
      </c>
      <c r="D1072" s="8" t="n">
        <v>0</v>
      </c>
      <c r="E1072" s="8" t="n">
        <v>1</v>
      </c>
      <c r="F1072" s="8" t="n">
        <f aca="false">D1072+E1072</f>
        <v>1</v>
      </c>
      <c r="G1072" s="23" t="n">
        <f aca="false">IF(F1072=0,"n/a",D1072/F1072)</f>
        <v>0</v>
      </c>
    </row>
    <row r="1073" customFormat="false" ht="15" hidden="false" customHeight="true" outlineLevel="0" collapsed="false">
      <c r="A1073" s="7" t="s">
        <v>62</v>
      </c>
      <c r="B1073" s="7" t="s">
        <v>1229</v>
      </c>
      <c r="C1073" s="7" t="s">
        <v>154</v>
      </c>
      <c r="D1073" s="8" t="n">
        <v>16</v>
      </c>
      <c r="E1073" s="8" t="n">
        <v>53</v>
      </c>
      <c r="F1073" s="8" t="n">
        <f aca="false">D1073+E1073</f>
        <v>69</v>
      </c>
      <c r="G1073" s="23" t="n">
        <f aca="false">IF(F1073=0,"n/a",D1073/F1073)</f>
        <v>0.231884057971015</v>
      </c>
    </row>
    <row r="1074" customFormat="false" ht="15" hidden="false" customHeight="true" outlineLevel="0" collapsed="false">
      <c r="A1074" s="7" t="s">
        <v>62</v>
      </c>
      <c r="B1074" s="7" t="s">
        <v>1230</v>
      </c>
      <c r="C1074" s="7" t="s">
        <v>154</v>
      </c>
      <c r="D1074" s="15" t="n">
        <v>14</v>
      </c>
      <c r="E1074" s="15" t="n">
        <v>39</v>
      </c>
      <c r="F1074" s="8" t="n">
        <f aca="false">D1074+E1074</f>
        <v>53</v>
      </c>
      <c r="G1074" s="23" t="n">
        <f aca="false">IF(F1074=0,"n/a",D1074/F1074)</f>
        <v>0.264150943396226</v>
      </c>
    </row>
    <row r="1075" customFormat="false" ht="15" hidden="false" customHeight="true" outlineLevel="0" collapsed="false">
      <c r="A1075" s="7" t="s">
        <v>62</v>
      </c>
      <c r="B1075" s="7" t="s">
        <v>1231</v>
      </c>
      <c r="C1075" s="7" t="s">
        <v>154</v>
      </c>
      <c r="D1075" s="15" t="n">
        <v>11</v>
      </c>
      <c r="E1075" s="15" t="n">
        <v>29</v>
      </c>
      <c r="F1075" s="8" t="n">
        <f aca="false">D1075+E1075</f>
        <v>40</v>
      </c>
      <c r="G1075" s="23" t="n">
        <f aca="false">IF(F1075=0,"n/a",D1075/F1075)</f>
        <v>0.275</v>
      </c>
    </row>
    <row r="1076" customFormat="false" ht="15" hidden="false" customHeight="true" outlineLevel="0" collapsed="false">
      <c r="A1076" s="7" t="s">
        <v>62</v>
      </c>
      <c r="B1076" s="7" t="s">
        <v>1232</v>
      </c>
      <c r="C1076" s="7" t="s">
        <v>154</v>
      </c>
      <c r="D1076" s="15" t="n">
        <v>2</v>
      </c>
      <c r="E1076" s="15" t="n">
        <v>34</v>
      </c>
      <c r="F1076" s="8" t="n">
        <f aca="false">D1076+E1076</f>
        <v>36</v>
      </c>
      <c r="G1076" s="23" t="n">
        <f aca="false">IF(F1076=0,"n/a",D1076/F1076)</f>
        <v>0.0555555555555556</v>
      </c>
    </row>
    <row r="1077" customFormat="false" ht="15" hidden="false" customHeight="true" outlineLevel="0" collapsed="false">
      <c r="A1077" s="7" t="s">
        <v>62</v>
      </c>
      <c r="B1077" s="7" t="s">
        <v>1233</v>
      </c>
      <c r="C1077" s="7" t="s">
        <v>154</v>
      </c>
      <c r="D1077" s="15" t="n">
        <v>0</v>
      </c>
      <c r="E1077" s="15" t="n">
        <v>24</v>
      </c>
      <c r="F1077" s="8" t="n">
        <f aca="false">D1077+E1077</f>
        <v>24</v>
      </c>
      <c r="G1077" s="23" t="n">
        <f aca="false">IF(F1077=0,"n/a",D1077/F1077)</f>
        <v>0</v>
      </c>
    </row>
    <row r="1078" customFormat="false" ht="15" hidden="false" customHeight="true" outlineLevel="0" collapsed="false">
      <c r="A1078" s="7" t="s">
        <v>62</v>
      </c>
      <c r="B1078" s="7" t="s">
        <v>1234</v>
      </c>
      <c r="C1078" s="7" t="s">
        <v>154</v>
      </c>
      <c r="D1078" s="15" t="n">
        <v>0</v>
      </c>
      <c r="E1078" s="15" t="n">
        <v>16</v>
      </c>
      <c r="F1078" s="8" t="n">
        <f aca="false">D1078+E1078</f>
        <v>16</v>
      </c>
      <c r="G1078" s="23" t="n">
        <f aca="false">IF(F1078=0,"n/a",D1078/F1078)</f>
        <v>0</v>
      </c>
    </row>
    <row r="1079" customFormat="false" ht="15" hidden="false" customHeight="true" outlineLevel="0" collapsed="false">
      <c r="A1079" s="7" t="s">
        <v>62</v>
      </c>
      <c r="B1079" s="7" t="s">
        <v>1235</v>
      </c>
      <c r="C1079" s="7" t="s">
        <v>154</v>
      </c>
      <c r="D1079" s="8" t="n">
        <v>9</v>
      </c>
      <c r="E1079" s="8" t="n">
        <v>5</v>
      </c>
      <c r="F1079" s="8" t="n">
        <f aca="false">D1079+E1079</f>
        <v>14</v>
      </c>
      <c r="G1079" s="23" t="n">
        <f aca="false">IF(F1079=0,"n/a",D1079/F1079)</f>
        <v>0.642857142857143</v>
      </c>
    </row>
    <row r="1080" customFormat="false" ht="15" hidden="false" customHeight="true" outlineLevel="0" collapsed="false">
      <c r="A1080" s="7" t="s">
        <v>62</v>
      </c>
      <c r="B1080" s="7" t="s">
        <v>1236</v>
      </c>
      <c r="C1080" s="7" t="s">
        <v>154</v>
      </c>
      <c r="D1080" s="15" t="n">
        <v>0</v>
      </c>
      <c r="E1080" s="15" t="n">
        <v>13</v>
      </c>
      <c r="F1080" s="8" t="n">
        <f aca="false">D1080+E1080</f>
        <v>13</v>
      </c>
      <c r="G1080" s="23" t="n">
        <f aca="false">IF(F1080=0,"n/a",D1080/F1080)</f>
        <v>0</v>
      </c>
    </row>
    <row r="1081" customFormat="false" ht="15" hidden="false" customHeight="true" outlineLevel="0" collapsed="false">
      <c r="A1081" s="7" t="s">
        <v>62</v>
      </c>
      <c r="B1081" s="7" t="s">
        <v>1237</v>
      </c>
      <c r="C1081" s="7" t="s">
        <v>154</v>
      </c>
      <c r="D1081" s="8" t="n">
        <v>2</v>
      </c>
      <c r="E1081" s="8" t="n">
        <v>9</v>
      </c>
      <c r="F1081" s="8" t="n">
        <f aca="false">D1081+E1081</f>
        <v>11</v>
      </c>
      <c r="G1081" s="23" t="n">
        <f aca="false">IF(F1081=0,"n/a",D1081/F1081)</f>
        <v>0.181818181818182</v>
      </c>
    </row>
    <row r="1082" customFormat="false" ht="15" hidden="false" customHeight="true" outlineLevel="0" collapsed="false">
      <c r="A1082" s="7" t="s">
        <v>62</v>
      </c>
      <c r="B1082" s="7" t="s">
        <v>827</v>
      </c>
      <c r="C1082" s="7" t="s">
        <v>154</v>
      </c>
      <c r="D1082" s="15" t="n">
        <v>0</v>
      </c>
      <c r="E1082" s="15" t="n">
        <v>9</v>
      </c>
      <c r="F1082" s="8" t="n">
        <f aca="false">D1082+E1082</f>
        <v>9</v>
      </c>
      <c r="G1082" s="23" t="n">
        <f aca="false">IF(F1082=0,"n/a",D1082/F1082)</f>
        <v>0</v>
      </c>
    </row>
    <row r="1083" customFormat="false" ht="15" hidden="false" customHeight="true" outlineLevel="0" collapsed="false">
      <c r="A1083" s="7" t="s">
        <v>62</v>
      </c>
      <c r="B1083" s="7" t="s">
        <v>1238</v>
      </c>
      <c r="C1083" s="7" t="s">
        <v>154</v>
      </c>
      <c r="D1083" s="8" t="n">
        <v>2</v>
      </c>
      <c r="E1083" s="8" t="n">
        <v>6</v>
      </c>
      <c r="F1083" s="8" t="n">
        <f aca="false">D1083+E1083</f>
        <v>8</v>
      </c>
      <c r="G1083" s="23" t="n">
        <f aca="false">IF(F1083=0,"n/a",D1083/F1083)</f>
        <v>0.25</v>
      </c>
    </row>
    <row r="1084" customFormat="false" ht="15" hidden="false" customHeight="true" outlineLevel="0" collapsed="false">
      <c r="A1084" s="7" t="s">
        <v>62</v>
      </c>
      <c r="B1084" s="7" t="s">
        <v>1239</v>
      </c>
      <c r="C1084" s="7" t="s">
        <v>154</v>
      </c>
      <c r="D1084" s="8" t="n">
        <v>1</v>
      </c>
      <c r="E1084" s="8" t="n">
        <v>6</v>
      </c>
      <c r="F1084" s="8" t="n">
        <f aca="false">D1084+E1084</f>
        <v>7</v>
      </c>
      <c r="G1084" s="23" t="n">
        <f aca="false">IF(F1084=0,"n/a",D1084/F1084)</f>
        <v>0.142857142857143</v>
      </c>
    </row>
    <row r="1085" customFormat="false" ht="15" hidden="false" customHeight="true" outlineLevel="0" collapsed="false">
      <c r="A1085" s="7" t="s">
        <v>62</v>
      </c>
      <c r="B1085" s="7" t="s">
        <v>1240</v>
      </c>
      <c r="C1085" s="7" t="s">
        <v>154</v>
      </c>
      <c r="D1085" s="8" t="n">
        <v>1</v>
      </c>
      <c r="E1085" s="8" t="n">
        <v>6</v>
      </c>
      <c r="F1085" s="8" t="n">
        <f aca="false">D1085+E1085</f>
        <v>7</v>
      </c>
      <c r="G1085" s="23" t="n">
        <f aca="false">IF(F1085=0,"n/a",D1085/F1085)</f>
        <v>0.142857142857143</v>
      </c>
    </row>
    <row r="1086" customFormat="false" ht="15" hidden="false" customHeight="true" outlineLevel="0" collapsed="false">
      <c r="A1086" s="7" t="s">
        <v>62</v>
      </c>
      <c r="B1086" s="7" t="s">
        <v>1241</v>
      </c>
      <c r="C1086" s="7" t="s">
        <v>154</v>
      </c>
      <c r="D1086" s="8" t="n">
        <v>0</v>
      </c>
      <c r="E1086" s="8" t="n">
        <v>7</v>
      </c>
      <c r="F1086" s="8" t="n">
        <f aca="false">D1086+E1086</f>
        <v>7</v>
      </c>
      <c r="G1086" s="23" t="n">
        <f aca="false">IF(F1086=0,"n/a",D1086/F1086)</f>
        <v>0</v>
      </c>
    </row>
    <row r="1087" customFormat="false" ht="15" hidden="false" customHeight="true" outlineLevel="0" collapsed="false">
      <c r="A1087" s="7" t="s">
        <v>62</v>
      </c>
      <c r="B1087" s="7" t="s">
        <v>1242</v>
      </c>
      <c r="C1087" s="7" t="s">
        <v>154</v>
      </c>
      <c r="D1087" s="8" t="n">
        <v>0</v>
      </c>
      <c r="E1087" s="8" t="n">
        <v>6</v>
      </c>
      <c r="F1087" s="8" t="n">
        <f aca="false">D1087+E1087</f>
        <v>6</v>
      </c>
      <c r="G1087" s="23" t="n">
        <f aca="false">IF(F1087=0,"n/a",D1087/F1087)</f>
        <v>0</v>
      </c>
    </row>
    <row r="1088" customFormat="false" ht="15" hidden="false" customHeight="true" outlineLevel="0" collapsed="false">
      <c r="A1088" s="7" t="s">
        <v>62</v>
      </c>
      <c r="B1088" s="7" t="s">
        <v>1243</v>
      </c>
      <c r="C1088" s="7" t="s">
        <v>154</v>
      </c>
      <c r="D1088" s="8" t="n">
        <v>2</v>
      </c>
      <c r="E1088" s="8" t="n">
        <v>4</v>
      </c>
      <c r="F1088" s="8" t="n">
        <f aca="false">D1088+E1088</f>
        <v>6</v>
      </c>
      <c r="G1088" s="23" t="n">
        <f aca="false">IF(F1088=0,"n/a",D1088/F1088)</f>
        <v>0.333333333333333</v>
      </c>
    </row>
    <row r="1089" customFormat="false" ht="15" hidden="false" customHeight="true" outlineLevel="0" collapsed="false">
      <c r="A1089" s="7" t="s">
        <v>62</v>
      </c>
      <c r="B1089" s="7" t="s">
        <v>1244</v>
      </c>
      <c r="C1089" s="7" t="s">
        <v>154</v>
      </c>
      <c r="D1089" s="8" t="n">
        <v>0</v>
      </c>
      <c r="E1089" s="8" t="n">
        <v>6</v>
      </c>
      <c r="F1089" s="8" t="n">
        <f aca="false">D1089+E1089</f>
        <v>6</v>
      </c>
      <c r="G1089" s="23" t="n">
        <f aca="false">IF(F1089=0,"n/a",D1089/F1089)</f>
        <v>0</v>
      </c>
    </row>
    <row r="1090" customFormat="false" ht="15" hidden="false" customHeight="true" outlineLevel="0" collapsed="false">
      <c r="A1090" s="7" t="s">
        <v>62</v>
      </c>
      <c r="B1090" s="7" t="s">
        <v>1245</v>
      </c>
      <c r="C1090" s="7" t="s">
        <v>154</v>
      </c>
      <c r="D1090" s="8" t="n">
        <v>0</v>
      </c>
      <c r="E1090" s="8" t="n">
        <v>6</v>
      </c>
      <c r="F1090" s="8" t="n">
        <f aca="false">D1090+E1090</f>
        <v>6</v>
      </c>
      <c r="G1090" s="23" t="n">
        <f aca="false">IF(F1090=0,"n/a",D1090/F1090)</f>
        <v>0</v>
      </c>
    </row>
    <row r="1091" customFormat="false" ht="15" hidden="false" customHeight="true" outlineLevel="0" collapsed="false">
      <c r="A1091" s="7" t="s">
        <v>62</v>
      </c>
      <c r="B1091" s="7" t="s">
        <v>1246</v>
      </c>
      <c r="C1091" s="7" t="s">
        <v>154</v>
      </c>
      <c r="D1091" s="8" t="n">
        <v>1</v>
      </c>
      <c r="E1091" s="8" t="n">
        <v>5</v>
      </c>
      <c r="F1091" s="8" t="n">
        <f aca="false">D1091+E1091</f>
        <v>6</v>
      </c>
      <c r="G1091" s="23" t="n">
        <f aca="false">IF(F1091=0,"n/a",D1091/F1091)</f>
        <v>0.166666666666667</v>
      </c>
    </row>
    <row r="1092" customFormat="false" ht="15" hidden="false" customHeight="true" outlineLevel="0" collapsed="false">
      <c r="A1092" s="7" t="s">
        <v>62</v>
      </c>
      <c r="B1092" s="7" t="s">
        <v>1247</v>
      </c>
      <c r="C1092" s="7" t="s">
        <v>154</v>
      </c>
      <c r="D1092" s="8" t="n">
        <v>2</v>
      </c>
      <c r="E1092" s="8" t="n">
        <v>4</v>
      </c>
      <c r="F1092" s="8" t="n">
        <f aca="false">D1092+E1092</f>
        <v>6</v>
      </c>
      <c r="G1092" s="23" t="n">
        <f aca="false">IF(F1092=0,"n/a",D1092/F1092)</f>
        <v>0.333333333333333</v>
      </c>
    </row>
    <row r="1093" customFormat="false" ht="15" hidden="false" customHeight="true" outlineLevel="0" collapsed="false">
      <c r="A1093" s="7" t="s">
        <v>62</v>
      </c>
      <c r="B1093" s="7" t="s">
        <v>1248</v>
      </c>
      <c r="C1093" s="7" t="s">
        <v>154</v>
      </c>
      <c r="D1093" s="8" t="n">
        <v>0</v>
      </c>
      <c r="E1093" s="8" t="n">
        <v>6</v>
      </c>
      <c r="F1093" s="8" t="n">
        <f aca="false">D1093+E1093</f>
        <v>6</v>
      </c>
      <c r="G1093" s="23" t="n">
        <f aca="false">IF(F1093=0,"n/a",D1093/F1093)</f>
        <v>0</v>
      </c>
    </row>
    <row r="1094" customFormat="false" ht="15" hidden="false" customHeight="true" outlineLevel="0" collapsed="false">
      <c r="A1094" s="7" t="s">
        <v>62</v>
      </c>
      <c r="B1094" s="7" t="s">
        <v>1249</v>
      </c>
      <c r="C1094" s="7" t="s">
        <v>154</v>
      </c>
      <c r="D1094" s="8" t="n">
        <v>1</v>
      </c>
      <c r="E1094" s="8" t="n">
        <v>4</v>
      </c>
      <c r="F1094" s="8" t="n">
        <f aca="false">D1094+E1094</f>
        <v>5</v>
      </c>
      <c r="G1094" s="23" t="n">
        <f aca="false">IF(F1094=0,"n/a",D1094/F1094)</f>
        <v>0.2</v>
      </c>
    </row>
    <row r="1095" customFormat="false" ht="15" hidden="false" customHeight="true" outlineLevel="0" collapsed="false">
      <c r="A1095" s="7" t="s">
        <v>62</v>
      </c>
      <c r="B1095" s="7" t="s">
        <v>1250</v>
      </c>
      <c r="C1095" s="7" t="s">
        <v>154</v>
      </c>
      <c r="D1095" s="8" t="n">
        <v>0</v>
      </c>
      <c r="E1095" s="8" t="n">
        <v>5</v>
      </c>
      <c r="F1095" s="8" t="n">
        <f aca="false">D1095+E1095</f>
        <v>5</v>
      </c>
      <c r="G1095" s="23" t="n">
        <f aca="false">IF(F1095=0,"n/a",D1095/F1095)</f>
        <v>0</v>
      </c>
    </row>
    <row r="1096" customFormat="false" ht="15" hidden="false" customHeight="true" outlineLevel="0" collapsed="false">
      <c r="A1096" s="7" t="s">
        <v>62</v>
      </c>
      <c r="B1096" s="7" t="s">
        <v>1251</v>
      </c>
      <c r="C1096" s="7" t="s">
        <v>154</v>
      </c>
      <c r="D1096" s="8" t="n">
        <v>1</v>
      </c>
      <c r="E1096" s="8" t="n">
        <v>3</v>
      </c>
      <c r="F1096" s="8" t="n">
        <f aca="false">D1096+E1096</f>
        <v>4</v>
      </c>
      <c r="G1096" s="23" t="n">
        <f aca="false">IF(F1096=0,"n/a",D1096/F1096)</f>
        <v>0.25</v>
      </c>
    </row>
    <row r="1097" customFormat="false" ht="15" hidden="false" customHeight="true" outlineLevel="0" collapsed="false">
      <c r="A1097" s="7" t="s">
        <v>62</v>
      </c>
      <c r="B1097" s="7" t="s">
        <v>1252</v>
      </c>
      <c r="C1097" s="7" t="s">
        <v>154</v>
      </c>
      <c r="D1097" s="8" t="n">
        <v>3</v>
      </c>
      <c r="E1097" s="8" t="n">
        <v>1</v>
      </c>
      <c r="F1097" s="8" t="n">
        <f aca="false">D1097+E1097</f>
        <v>4</v>
      </c>
      <c r="G1097" s="23" t="n">
        <f aca="false">IF(F1097=0,"n/a",D1097/F1097)</f>
        <v>0.75</v>
      </c>
    </row>
    <row r="1098" customFormat="false" ht="15" hidden="false" customHeight="true" outlineLevel="0" collapsed="false">
      <c r="A1098" s="7" t="s">
        <v>62</v>
      </c>
      <c r="B1098" s="7" t="s">
        <v>1253</v>
      </c>
      <c r="C1098" s="7" t="s">
        <v>154</v>
      </c>
      <c r="D1098" s="8" t="n">
        <v>2</v>
      </c>
      <c r="E1098" s="8" t="n">
        <v>2</v>
      </c>
      <c r="F1098" s="8" t="n">
        <f aca="false">D1098+E1098</f>
        <v>4</v>
      </c>
      <c r="G1098" s="23" t="n">
        <f aca="false">IF(F1098=0,"n/a",D1098/F1098)</f>
        <v>0.5</v>
      </c>
    </row>
    <row r="1099" customFormat="false" ht="15" hidden="false" customHeight="true" outlineLevel="0" collapsed="false">
      <c r="A1099" s="7" t="s">
        <v>62</v>
      </c>
      <c r="B1099" s="7" t="s">
        <v>1254</v>
      </c>
      <c r="C1099" s="7" t="s">
        <v>154</v>
      </c>
      <c r="D1099" s="8" t="n">
        <v>0</v>
      </c>
      <c r="E1099" s="8" t="n">
        <v>4</v>
      </c>
      <c r="F1099" s="8" t="n">
        <f aca="false">D1099+E1099</f>
        <v>4</v>
      </c>
      <c r="G1099" s="23" t="n">
        <f aca="false">IF(F1099=0,"n/a",D1099/F1099)</f>
        <v>0</v>
      </c>
    </row>
    <row r="1100" customFormat="false" ht="15" hidden="false" customHeight="true" outlineLevel="0" collapsed="false">
      <c r="A1100" s="7" t="s">
        <v>62</v>
      </c>
      <c r="B1100" s="7" t="s">
        <v>1255</v>
      </c>
      <c r="C1100" s="7" t="s">
        <v>154</v>
      </c>
      <c r="D1100" s="8" t="n">
        <v>0</v>
      </c>
      <c r="E1100" s="8" t="n">
        <v>4</v>
      </c>
      <c r="F1100" s="8" t="n">
        <f aca="false">D1100+E1100</f>
        <v>4</v>
      </c>
      <c r="G1100" s="23" t="n">
        <f aca="false">IF(F1100=0,"n/a",D1100/F1100)</f>
        <v>0</v>
      </c>
    </row>
    <row r="1101" customFormat="false" ht="15" hidden="false" customHeight="true" outlineLevel="0" collapsed="false">
      <c r="A1101" s="7" t="s">
        <v>62</v>
      </c>
      <c r="B1101" s="7" t="s">
        <v>1256</v>
      </c>
      <c r="C1101" s="7" t="s">
        <v>154</v>
      </c>
      <c r="D1101" s="8" t="n">
        <v>0</v>
      </c>
      <c r="E1101" s="8" t="n">
        <v>3</v>
      </c>
      <c r="F1101" s="8" t="n">
        <f aca="false">D1101+E1101</f>
        <v>3</v>
      </c>
      <c r="G1101" s="23" t="n">
        <f aca="false">IF(F1101=0,"n/a",D1101/F1101)</f>
        <v>0</v>
      </c>
    </row>
    <row r="1102" customFormat="false" ht="15" hidden="false" customHeight="true" outlineLevel="0" collapsed="false">
      <c r="A1102" s="7" t="s">
        <v>62</v>
      </c>
      <c r="B1102" s="7" t="s">
        <v>1257</v>
      </c>
      <c r="C1102" s="7" t="s">
        <v>154</v>
      </c>
      <c r="D1102" s="8" t="n">
        <v>0</v>
      </c>
      <c r="E1102" s="8" t="n">
        <v>3</v>
      </c>
      <c r="F1102" s="8" t="n">
        <f aca="false">D1102+E1102</f>
        <v>3</v>
      </c>
      <c r="G1102" s="23" t="n">
        <f aca="false">IF(F1102=0,"n/a",D1102/F1102)</f>
        <v>0</v>
      </c>
    </row>
    <row r="1103" customFormat="false" ht="15" hidden="false" customHeight="true" outlineLevel="0" collapsed="false">
      <c r="A1103" s="7" t="s">
        <v>62</v>
      </c>
      <c r="B1103" s="7" t="s">
        <v>1258</v>
      </c>
      <c r="C1103" s="7" t="s">
        <v>154</v>
      </c>
      <c r="D1103" s="8" t="n">
        <v>0</v>
      </c>
      <c r="E1103" s="8" t="n">
        <v>3</v>
      </c>
      <c r="F1103" s="8" t="n">
        <f aca="false">D1103+E1103</f>
        <v>3</v>
      </c>
      <c r="G1103" s="23" t="n">
        <f aca="false">IF(F1103=0,"n/a",D1103/F1103)</f>
        <v>0</v>
      </c>
    </row>
    <row r="1104" customFormat="false" ht="15" hidden="false" customHeight="true" outlineLevel="0" collapsed="false">
      <c r="A1104" s="7" t="s">
        <v>62</v>
      </c>
      <c r="B1104" s="7" t="s">
        <v>1259</v>
      </c>
      <c r="C1104" s="7" t="s">
        <v>154</v>
      </c>
      <c r="D1104" s="8" t="n">
        <v>0</v>
      </c>
      <c r="E1104" s="8" t="n">
        <v>3</v>
      </c>
      <c r="F1104" s="8" t="n">
        <f aca="false">D1104+E1104</f>
        <v>3</v>
      </c>
      <c r="G1104" s="23" t="n">
        <f aca="false">IF(F1104=0,"n/a",D1104/F1104)</f>
        <v>0</v>
      </c>
    </row>
    <row r="1105" customFormat="false" ht="15" hidden="false" customHeight="true" outlineLevel="0" collapsed="false">
      <c r="A1105" s="7" t="s">
        <v>62</v>
      </c>
      <c r="B1105" s="7" t="s">
        <v>1260</v>
      </c>
      <c r="C1105" s="7" t="s">
        <v>154</v>
      </c>
      <c r="D1105" s="8" t="n">
        <v>1</v>
      </c>
      <c r="E1105" s="8" t="n">
        <v>2</v>
      </c>
      <c r="F1105" s="8" t="n">
        <f aca="false">D1105+E1105</f>
        <v>3</v>
      </c>
      <c r="G1105" s="23" t="n">
        <f aca="false">IF(F1105=0,"n/a",D1105/F1105)</f>
        <v>0.333333333333333</v>
      </c>
    </row>
    <row r="1106" customFormat="false" ht="15" hidden="false" customHeight="true" outlineLevel="0" collapsed="false">
      <c r="A1106" s="7" t="s">
        <v>62</v>
      </c>
      <c r="B1106" s="7" t="s">
        <v>863</v>
      </c>
      <c r="C1106" s="7" t="s">
        <v>154</v>
      </c>
      <c r="D1106" s="8" t="n">
        <v>1</v>
      </c>
      <c r="E1106" s="8" t="n">
        <v>2</v>
      </c>
      <c r="F1106" s="8" t="n">
        <f aca="false">D1106+E1106</f>
        <v>3</v>
      </c>
      <c r="G1106" s="23" t="n">
        <f aca="false">IF(F1106=0,"n/a",D1106/F1106)</f>
        <v>0.333333333333333</v>
      </c>
    </row>
    <row r="1107" customFormat="false" ht="15" hidden="false" customHeight="true" outlineLevel="0" collapsed="false">
      <c r="A1107" s="7" t="s">
        <v>62</v>
      </c>
      <c r="B1107" s="7" t="s">
        <v>864</v>
      </c>
      <c r="C1107" s="7" t="s">
        <v>154</v>
      </c>
      <c r="D1107" s="8" t="n">
        <v>1</v>
      </c>
      <c r="E1107" s="8" t="n">
        <v>2</v>
      </c>
      <c r="F1107" s="8" t="n">
        <f aca="false">D1107+E1107</f>
        <v>3</v>
      </c>
      <c r="G1107" s="23" t="n">
        <f aca="false">IF(F1107=0,"n/a",D1107/F1107)</f>
        <v>0.333333333333333</v>
      </c>
    </row>
    <row r="1108" customFormat="false" ht="15" hidden="false" customHeight="true" outlineLevel="0" collapsed="false">
      <c r="A1108" s="7" t="s">
        <v>62</v>
      </c>
      <c r="B1108" s="7" t="s">
        <v>1261</v>
      </c>
      <c r="C1108" s="7" t="s">
        <v>154</v>
      </c>
      <c r="D1108" s="8" t="n">
        <v>1</v>
      </c>
      <c r="E1108" s="8" t="n">
        <v>2</v>
      </c>
      <c r="F1108" s="8" t="n">
        <f aca="false">D1108+E1108</f>
        <v>3</v>
      </c>
      <c r="G1108" s="23" t="n">
        <f aca="false">IF(F1108=0,"n/a",D1108/F1108)</f>
        <v>0.333333333333333</v>
      </c>
    </row>
    <row r="1109" customFormat="false" ht="15" hidden="false" customHeight="true" outlineLevel="0" collapsed="false">
      <c r="A1109" s="7" t="s">
        <v>62</v>
      </c>
      <c r="B1109" s="7" t="s">
        <v>1262</v>
      </c>
      <c r="C1109" s="7" t="s">
        <v>154</v>
      </c>
      <c r="D1109" s="8" t="n">
        <v>0</v>
      </c>
      <c r="E1109" s="8" t="n">
        <v>3</v>
      </c>
      <c r="F1109" s="8" t="n">
        <f aca="false">D1109+E1109</f>
        <v>3</v>
      </c>
      <c r="G1109" s="23" t="n">
        <f aca="false">IF(F1109=0,"n/a",D1109/F1109)</f>
        <v>0</v>
      </c>
    </row>
    <row r="1110" customFormat="false" ht="15" hidden="false" customHeight="true" outlineLevel="0" collapsed="false">
      <c r="A1110" s="7" t="s">
        <v>62</v>
      </c>
      <c r="B1110" s="7" t="s">
        <v>1263</v>
      </c>
      <c r="C1110" s="7" t="s">
        <v>154</v>
      </c>
      <c r="D1110" s="8" t="n">
        <v>3</v>
      </c>
      <c r="E1110" s="8" t="n">
        <v>0</v>
      </c>
      <c r="F1110" s="8" t="n">
        <f aca="false">D1110+E1110</f>
        <v>3</v>
      </c>
      <c r="G1110" s="23" t="n">
        <f aca="false">IF(F1110=0,"n/a",D1110/F1110)</f>
        <v>1</v>
      </c>
    </row>
    <row r="1111" customFormat="false" ht="15" hidden="false" customHeight="true" outlineLevel="0" collapsed="false">
      <c r="A1111" s="7" t="s">
        <v>62</v>
      </c>
      <c r="B1111" s="7" t="s">
        <v>1264</v>
      </c>
      <c r="C1111" s="7" t="s">
        <v>154</v>
      </c>
      <c r="D1111" s="8" t="n">
        <v>0</v>
      </c>
      <c r="E1111" s="8" t="n">
        <v>3</v>
      </c>
      <c r="F1111" s="8" t="n">
        <f aca="false">D1111+E1111</f>
        <v>3</v>
      </c>
      <c r="G1111" s="23" t="n">
        <f aca="false">IF(F1111=0,"n/a",D1111/F1111)</f>
        <v>0</v>
      </c>
    </row>
    <row r="1112" customFormat="false" ht="15" hidden="false" customHeight="true" outlineLevel="0" collapsed="false">
      <c r="A1112" s="7" t="s">
        <v>62</v>
      </c>
      <c r="B1112" s="7" t="s">
        <v>1265</v>
      </c>
      <c r="C1112" s="7" t="s">
        <v>154</v>
      </c>
      <c r="D1112" s="8" t="n">
        <v>0</v>
      </c>
      <c r="E1112" s="8" t="n">
        <v>2</v>
      </c>
      <c r="F1112" s="8" t="n">
        <f aca="false">D1112+E1112</f>
        <v>2</v>
      </c>
      <c r="G1112" s="23" t="n">
        <f aca="false">IF(F1112=0,"n/a",D1112/F1112)</f>
        <v>0</v>
      </c>
    </row>
    <row r="1113" customFormat="false" ht="15" hidden="false" customHeight="true" outlineLevel="0" collapsed="false">
      <c r="A1113" s="7" t="s">
        <v>62</v>
      </c>
      <c r="B1113" s="7" t="s">
        <v>1266</v>
      </c>
      <c r="C1113" s="7" t="s">
        <v>154</v>
      </c>
      <c r="D1113" s="8" t="n">
        <v>0</v>
      </c>
      <c r="E1113" s="8" t="n">
        <v>2</v>
      </c>
      <c r="F1113" s="8" t="n">
        <f aca="false">D1113+E1113</f>
        <v>2</v>
      </c>
      <c r="G1113" s="23" t="n">
        <f aca="false">IF(F1113=0,"n/a",D1113/F1113)</f>
        <v>0</v>
      </c>
    </row>
    <row r="1114" customFormat="false" ht="15" hidden="false" customHeight="true" outlineLevel="0" collapsed="false">
      <c r="A1114" s="7" t="s">
        <v>62</v>
      </c>
      <c r="B1114" s="7" t="s">
        <v>1267</v>
      </c>
      <c r="C1114" s="7" t="s">
        <v>154</v>
      </c>
      <c r="D1114" s="8" t="n">
        <v>2</v>
      </c>
      <c r="E1114" s="8" t="n">
        <v>0</v>
      </c>
      <c r="F1114" s="8" t="n">
        <f aca="false">D1114+E1114</f>
        <v>2</v>
      </c>
      <c r="G1114" s="23" t="n">
        <f aca="false">IF(F1114=0,"n/a",D1114/F1114)</f>
        <v>1</v>
      </c>
    </row>
    <row r="1115" customFormat="false" ht="15" hidden="false" customHeight="true" outlineLevel="0" collapsed="false">
      <c r="A1115" s="7" t="s">
        <v>62</v>
      </c>
      <c r="B1115" s="7" t="s">
        <v>474</v>
      </c>
      <c r="C1115" s="7" t="s">
        <v>154</v>
      </c>
      <c r="D1115" s="8" t="n">
        <v>0</v>
      </c>
      <c r="E1115" s="8" t="n">
        <v>2</v>
      </c>
      <c r="F1115" s="8" t="n">
        <f aca="false">D1115+E1115</f>
        <v>2</v>
      </c>
      <c r="G1115" s="23" t="n">
        <f aca="false">IF(F1115=0,"n/a",D1115/F1115)</f>
        <v>0</v>
      </c>
    </row>
    <row r="1116" customFormat="false" ht="15" hidden="false" customHeight="true" outlineLevel="0" collapsed="false">
      <c r="A1116" s="7" t="s">
        <v>62</v>
      </c>
      <c r="B1116" s="7" t="s">
        <v>1089</v>
      </c>
      <c r="C1116" s="7" t="s">
        <v>154</v>
      </c>
      <c r="D1116" s="8" t="n">
        <v>1</v>
      </c>
      <c r="E1116" s="8" t="n">
        <v>1</v>
      </c>
      <c r="F1116" s="8" t="n">
        <f aca="false">D1116+E1116</f>
        <v>2</v>
      </c>
      <c r="G1116" s="23" t="n">
        <f aca="false">IF(F1116=0,"n/a",D1116/F1116)</f>
        <v>0.5</v>
      </c>
    </row>
    <row r="1117" customFormat="false" ht="15" hidden="false" customHeight="true" outlineLevel="0" collapsed="false">
      <c r="A1117" s="7" t="s">
        <v>62</v>
      </c>
      <c r="B1117" s="7" t="s">
        <v>1268</v>
      </c>
      <c r="C1117" s="7" t="s">
        <v>154</v>
      </c>
      <c r="D1117" s="8" t="n">
        <v>1</v>
      </c>
      <c r="E1117" s="8" t="n">
        <v>1</v>
      </c>
      <c r="F1117" s="8" t="n">
        <f aca="false">D1117+E1117</f>
        <v>2</v>
      </c>
      <c r="G1117" s="23" t="n">
        <f aca="false">IF(F1117=0,"n/a",D1117/F1117)</f>
        <v>0.5</v>
      </c>
    </row>
    <row r="1118" customFormat="false" ht="15" hidden="false" customHeight="true" outlineLevel="0" collapsed="false">
      <c r="A1118" s="7" t="s">
        <v>62</v>
      </c>
      <c r="B1118" s="7" t="s">
        <v>1269</v>
      </c>
      <c r="C1118" s="7" t="s">
        <v>154</v>
      </c>
      <c r="D1118" s="8" t="n">
        <v>1</v>
      </c>
      <c r="E1118" s="8" t="n">
        <v>1</v>
      </c>
      <c r="F1118" s="8" t="n">
        <f aca="false">D1118+E1118</f>
        <v>2</v>
      </c>
      <c r="G1118" s="23" t="n">
        <f aca="false">IF(F1118=0,"n/a",D1118/F1118)</f>
        <v>0.5</v>
      </c>
    </row>
    <row r="1119" customFormat="false" ht="15" hidden="false" customHeight="true" outlineLevel="0" collapsed="false">
      <c r="A1119" s="7" t="s">
        <v>62</v>
      </c>
      <c r="B1119" s="7" t="s">
        <v>1270</v>
      </c>
      <c r="C1119" s="7" t="s">
        <v>154</v>
      </c>
      <c r="D1119" s="8" t="n">
        <v>0</v>
      </c>
      <c r="E1119" s="8" t="n">
        <v>2</v>
      </c>
      <c r="F1119" s="8" t="n">
        <f aca="false">D1119+E1119</f>
        <v>2</v>
      </c>
      <c r="G1119" s="23" t="n">
        <f aca="false">IF(F1119=0,"n/a",D1119/F1119)</f>
        <v>0</v>
      </c>
    </row>
    <row r="1120" customFormat="false" ht="15" hidden="false" customHeight="true" outlineLevel="0" collapsed="false">
      <c r="A1120" s="7" t="s">
        <v>62</v>
      </c>
      <c r="B1120" s="7" t="s">
        <v>392</v>
      </c>
      <c r="C1120" s="7" t="s">
        <v>154</v>
      </c>
      <c r="D1120" s="8" t="n">
        <v>0</v>
      </c>
      <c r="E1120" s="8" t="n">
        <v>2</v>
      </c>
      <c r="F1120" s="8" t="n">
        <f aca="false">D1120+E1120</f>
        <v>2</v>
      </c>
      <c r="G1120" s="23" t="n">
        <f aca="false">IF(F1120=0,"n/a",D1120/F1120)</f>
        <v>0</v>
      </c>
    </row>
    <row r="1121" customFormat="false" ht="15" hidden="false" customHeight="true" outlineLevel="0" collapsed="false">
      <c r="A1121" s="7" t="s">
        <v>62</v>
      </c>
      <c r="B1121" s="7" t="s">
        <v>1271</v>
      </c>
      <c r="C1121" s="7" t="s">
        <v>154</v>
      </c>
      <c r="D1121" s="8" t="n">
        <v>1</v>
      </c>
      <c r="E1121" s="8" t="n">
        <v>1</v>
      </c>
      <c r="F1121" s="8" t="n">
        <f aca="false">D1121+E1121</f>
        <v>2</v>
      </c>
      <c r="G1121" s="23" t="n">
        <f aca="false">IF(F1121=0,"n/a",D1121/F1121)</f>
        <v>0.5</v>
      </c>
    </row>
    <row r="1122" customFormat="false" ht="15" hidden="false" customHeight="true" outlineLevel="0" collapsed="false">
      <c r="A1122" s="7" t="s">
        <v>62</v>
      </c>
      <c r="B1122" s="7" t="s">
        <v>1272</v>
      </c>
      <c r="C1122" s="7" t="s">
        <v>154</v>
      </c>
      <c r="D1122" s="8" t="n">
        <v>0</v>
      </c>
      <c r="E1122" s="8" t="n">
        <v>2</v>
      </c>
      <c r="F1122" s="8" t="n">
        <f aca="false">D1122+E1122</f>
        <v>2</v>
      </c>
      <c r="G1122" s="23" t="n">
        <f aca="false">IF(F1122=0,"n/a",D1122/F1122)</f>
        <v>0</v>
      </c>
    </row>
    <row r="1123" customFormat="false" ht="15" hidden="false" customHeight="true" outlineLevel="0" collapsed="false">
      <c r="A1123" s="7" t="s">
        <v>62</v>
      </c>
      <c r="B1123" s="7" t="s">
        <v>1273</v>
      </c>
      <c r="C1123" s="7" t="s">
        <v>154</v>
      </c>
      <c r="D1123" s="8" t="n">
        <v>0</v>
      </c>
      <c r="E1123" s="8" t="n">
        <v>2</v>
      </c>
      <c r="F1123" s="8" t="n">
        <f aca="false">D1123+E1123</f>
        <v>2</v>
      </c>
      <c r="G1123" s="23" t="n">
        <f aca="false">IF(F1123=0,"n/a",D1123/F1123)</f>
        <v>0</v>
      </c>
    </row>
    <row r="1124" customFormat="false" ht="15" hidden="false" customHeight="true" outlineLevel="0" collapsed="false">
      <c r="A1124" s="7" t="s">
        <v>62</v>
      </c>
      <c r="B1124" s="7" t="s">
        <v>1274</v>
      </c>
      <c r="C1124" s="7" t="s">
        <v>154</v>
      </c>
      <c r="D1124" s="8" t="n">
        <v>1</v>
      </c>
      <c r="E1124" s="8" t="n">
        <v>1</v>
      </c>
      <c r="F1124" s="8" t="n">
        <f aca="false">D1124+E1124</f>
        <v>2</v>
      </c>
      <c r="G1124" s="23" t="n">
        <f aca="false">IF(F1124=0,"n/a",D1124/F1124)</f>
        <v>0.5</v>
      </c>
    </row>
    <row r="1125" customFormat="false" ht="15" hidden="false" customHeight="true" outlineLevel="0" collapsed="false">
      <c r="A1125" s="7" t="s">
        <v>62</v>
      </c>
      <c r="B1125" s="7" t="s">
        <v>1275</v>
      </c>
      <c r="C1125" s="7" t="s">
        <v>154</v>
      </c>
      <c r="D1125" s="8" t="n">
        <v>1</v>
      </c>
      <c r="E1125" s="8" t="n">
        <v>0</v>
      </c>
      <c r="F1125" s="8" t="n">
        <f aca="false">D1125+E1125</f>
        <v>1</v>
      </c>
      <c r="G1125" s="23" t="n">
        <f aca="false">IF(F1125=0,"n/a",D1125/F1125)</f>
        <v>1</v>
      </c>
    </row>
    <row r="1126" customFormat="false" ht="15" hidden="false" customHeight="true" outlineLevel="0" collapsed="false">
      <c r="A1126" s="7" t="s">
        <v>62</v>
      </c>
      <c r="B1126" s="7" t="s">
        <v>1276</v>
      </c>
      <c r="C1126" s="7" t="s">
        <v>154</v>
      </c>
      <c r="D1126" s="8" t="n">
        <v>0</v>
      </c>
      <c r="E1126" s="8" t="n">
        <v>1</v>
      </c>
      <c r="F1126" s="8" t="n">
        <f aca="false">D1126+E1126</f>
        <v>1</v>
      </c>
      <c r="G1126" s="23" t="n">
        <f aca="false">IF(F1126=0,"n/a",D1126/F1126)</f>
        <v>0</v>
      </c>
    </row>
    <row r="1127" customFormat="false" ht="15" hidden="false" customHeight="true" outlineLevel="0" collapsed="false">
      <c r="A1127" s="7" t="s">
        <v>62</v>
      </c>
      <c r="B1127" s="7" t="s">
        <v>1277</v>
      </c>
      <c r="C1127" s="7" t="s">
        <v>154</v>
      </c>
      <c r="D1127" s="8" t="n">
        <v>0</v>
      </c>
      <c r="E1127" s="8" t="n">
        <v>1</v>
      </c>
      <c r="F1127" s="8" t="n">
        <f aca="false">D1127+E1127</f>
        <v>1</v>
      </c>
      <c r="G1127" s="23" t="n">
        <f aca="false">IF(F1127=0,"n/a",D1127/F1127)</f>
        <v>0</v>
      </c>
    </row>
    <row r="1128" customFormat="false" ht="15" hidden="false" customHeight="true" outlineLevel="0" collapsed="false">
      <c r="A1128" s="7" t="s">
        <v>62</v>
      </c>
      <c r="B1128" s="7" t="s">
        <v>1278</v>
      </c>
      <c r="C1128" s="7" t="s">
        <v>154</v>
      </c>
      <c r="D1128" s="8" t="n">
        <v>1</v>
      </c>
      <c r="E1128" s="8" t="n">
        <v>0</v>
      </c>
      <c r="F1128" s="8" t="n">
        <f aca="false">D1128+E1128</f>
        <v>1</v>
      </c>
      <c r="G1128" s="23" t="n">
        <f aca="false">IF(F1128=0,"n/a",D1128/F1128)</f>
        <v>1</v>
      </c>
    </row>
    <row r="1129" customFormat="false" ht="15" hidden="false" customHeight="true" outlineLevel="0" collapsed="false">
      <c r="A1129" s="7" t="s">
        <v>62</v>
      </c>
      <c r="B1129" s="7" t="s">
        <v>555</v>
      </c>
      <c r="C1129" s="7" t="s">
        <v>154</v>
      </c>
      <c r="D1129" s="8" t="n">
        <v>0</v>
      </c>
      <c r="E1129" s="8" t="n">
        <v>1</v>
      </c>
      <c r="F1129" s="8" t="n">
        <f aca="false">D1129+E1129</f>
        <v>1</v>
      </c>
      <c r="G1129" s="23" t="n">
        <f aca="false">IF(F1129=0,"n/a",D1129/F1129)</f>
        <v>0</v>
      </c>
    </row>
    <row r="1130" customFormat="false" ht="15" hidden="false" customHeight="true" outlineLevel="0" collapsed="false">
      <c r="A1130" s="7" t="s">
        <v>62</v>
      </c>
      <c r="B1130" s="7" t="s">
        <v>1279</v>
      </c>
      <c r="C1130" s="7" t="s">
        <v>154</v>
      </c>
      <c r="D1130" s="8" t="n">
        <v>1</v>
      </c>
      <c r="E1130" s="8" t="n">
        <v>0</v>
      </c>
      <c r="F1130" s="8" t="n">
        <f aca="false">D1130+E1130</f>
        <v>1</v>
      </c>
      <c r="G1130" s="23" t="n">
        <f aca="false">IF(F1130=0,"n/a",D1130/F1130)</f>
        <v>1</v>
      </c>
    </row>
    <row r="1131" customFormat="false" ht="15" hidden="false" customHeight="true" outlineLevel="0" collapsed="false">
      <c r="A1131" s="7" t="s">
        <v>62</v>
      </c>
      <c r="B1131" s="7" t="s">
        <v>1280</v>
      </c>
      <c r="C1131" s="7" t="s">
        <v>154</v>
      </c>
      <c r="D1131" s="8" t="n">
        <v>1</v>
      </c>
      <c r="E1131" s="8" t="n">
        <v>0</v>
      </c>
      <c r="F1131" s="8" t="n">
        <f aca="false">D1131+E1131</f>
        <v>1</v>
      </c>
      <c r="G1131" s="23" t="n">
        <f aca="false">IF(F1131=0,"n/a",D1131/F1131)</f>
        <v>1</v>
      </c>
    </row>
    <row r="1132" customFormat="false" ht="15" hidden="false" customHeight="true" outlineLevel="0" collapsed="false">
      <c r="A1132" s="7" t="s">
        <v>62</v>
      </c>
      <c r="B1132" s="7" t="s">
        <v>1281</v>
      </c>
      <c r="C1132" s="7" t="s">
        <v>154</v>
      </c>
      <c r="D1132" s="8" t="n">
        <v>0</v>
      </c>
      <c r="E1132" s="8" t="n">
        <v>1</v>
      </c>
      <c r="F1132" s="8" t="n">
        <f aca="false">D1132+E1132</f>
        <v>1</v>
      </c>
      <c r="G1132" s="23" t="n">
        <f aca="false">IF(F1132=0,"n/a",D1132/F1132)</f>
        <v>0</v>
      </c>
    </row>
    <row r="1133" customFormat="false" ht="15" hidden="false" customHeight="true" outlineLevel="0" collapsed="false">
      <c r="A1133" s="7" t="s">
        <v>62</v>
      </c>
      <c r="B1133" s="7" t="s">
        <v>569</v>
      </c>
      <c r="C1133" s="7" t="s">
        <v>154</v>
      </c>
      <c r="D1133" s="8" t="n">
        <v>0</v>
      </c>
      <c r="E1133" s="8" t="n">
        <v>1</v>
      </c>
      <c r="F1133" s="8" t="n">
        <f aca="false">D1133+E1133</f>
        <v>1</v>
      </c>
      <c r="G1133" s="23" t="n">
        <f aca="false">IF(F1133=0,"n/a",D1133/F1133)</f>
        <v>0</v>
      </c>
    </row>
    <row r="1134" customFormat="false" ht="15" hidden="false" customHeight="true" outlineLevel="0" collapsed="false">
      <c r="A1134" s="7" t="s">
        <v>62</v>
      </c>
      <c r="B1134" s="7" t="s">
        <v>1282</v>
      </c>
      <c r="C1134" s="7" t="s">
        <v>154</v>
      </c>
      <c r="D1134" s="8" t="n">
        <v>0</v>
      </c>
      <c r="E1134" s="8" t="n">
        <v>1</v>
      </c>
      <c r="F1134" s="8" t="n">
        <f aca="false">D1134+E1134</f>
        <v>1</v>
      </c>
      <c r="G1134" s="23" t="n">
        <f aca="false">IF(F1134=0,"n/a",D1134/F1134)</f>
        <v>0</v>
      </c>
    </row>
    <row r="1135" customFormat="false" ht="15" hidden="false" customHeight="true" outlineLevel="0" collapsed="false">
      <c r="A1135" s="7" t="s">
        <v>62</v>
      </c>
      <c r="B1135" s="7" t="s">
        <v>1283</v>
      </c>
      <c r="C1135" s="7" t="s">
        <v>154</v>
      </c>
      <c r="D1135" s="8" t="n">
        <v>0</v>
      </c>
      <c r="E1135" s="8" t="n">
        <v>1</v>
      </c>
      <c r="F1135" s="8" t="n">
        <f aca="false">D1135+E1135</f>
        <v>1</v>
      </c>
      <c r="G1135" s="23" t="n">
        <f aca="false">IF(F1135=0,"n/a",D1135/F1135)</f>
        <v>0</v>
      </c>
    </row>
    <row r="1136" customFormat="false" ht="15" hidden="false" customHeight="true" outlineLevel="0" collapsed="false">
      <c r="A1136" s="7" t="s">
        <v>62</v>
      </c>
      <c r="B1136" s="7" t="s">
        <v>1284</v>
      </c>
      <c r="C1136" s="7" t="s">
        <v>154</v>
      </c>
      <c r="D1136" s="8" t="n">
        <v>0</v>
      </c>
      <c r="E1136" s="8" t="n">
        <v>1</v>
      </c>
      <c r="F1136" s="8" t="n">
        <f aca="false">D1136+E1136</f>
        <v>1</v>
      </c>
      <c r="G1136" s="23" t="n">
        <f aca="false">IF(F1136=0,"n/a",D1136/F1136)</f>
        <v>0</v>
      </c>
    </row>
    <row r="1137" customFormat="false" ht="15" hidden="false" customHeight="true" outlineLevel="0" collapsed="false">
      <c r="A1137" s="7" t="s">
        <v>62</v>
      </c>
      <c r="B1137" s="7" t="s">
        <v>1285</v>
      </c>
      <c r="C1137" s="7" t="s">
        <v>154</v>
      </c>
      <c r="D1137" s="8" t="n">
        <v>0</v>
      </c>
      <c r="E1137" s="8" t="n">
        <v>1</v>
      </c>
      <c r="F1137" s="8" t="n">
        <f aca="false">D1137+E1137</f>
        <v>1</v>
      </c>
      <c r="G1137" s="23" t="n">
        <f aca="false">IF(F1137=0,"n/a",D1137/F1137)</f>
        <v>0</v>
      </c>
    </row>
    <row r="1138" customFormat="false" ht="15" hidden="false" customHeight="true" outlineLevel="0" collapsed="false">
      <c r="A1138" s="7" t="s">
        <v>62</v>
      </c>
      <c r="B1138" s="7" t="s">
        <v>1286</v>
      </c>
      <c r="C1138" s="7" t="s">
        <v>154</v>
      </c>
      <c r="D1138" s="8" t="n">
        <v>0</v>
      </c>
      <c r="E1138" s="8" t="n">
        <v>1</v>
      </c>
      <c r="F1138" s="8" t="n">
        <f aca="false">D1138+E1138</f>
        <v>1</v>
      </c>
      <c r="G1138" s="23" t="n">
        <f aca="false">IF(F1138=0,"n/a",D1138/F1138)</f>
        <v>0</v>
      </c>
    </row>
    <row r="1139" customFormat="false" ht="15" hidden="false" customHeight="true" outlineLevel="0" collapsed="false">
      <c r="A1139" s="7" t="s">
        <v>62</v>
      </c>
      <c r="B1139" s="7" t="s">
        <v>1287</v>
      </c>
      <c r="C1139" s="7" t="s">
        <v>154</v>
      </c>
      <c r="D1139" s="8" t="n">
        <v>0</v>
      </c>
      <c r="E1139" s="8" t="n">
        <v>1</v>
      </c>
      <c r="F1139" s="8" t="n">
        <f aca="false">D1139+E1139</f>
        <v>1</v>
      </c>
      <c r="G1139" s="23" t="n">
        <f aca="false">IF(F1139=0,"n/a",D1139/F1139)</f>
        <v>0</v>
      </c>
    </row>
    <row r="1140" customFormat="false" ht="15" hidden="false" customHeight="true" outlineLevel="0" collapsed="false">
      <c r="A1140" s="7" t="s">
        <v>62</v>
      </c>
      <c r="B1140" s="7" t="s">
        <v>1288</v>
      </c>
      <c r="C1140" s="7" t="s">
        <v>154</v>
      </c>
      <c r="D1140" s="8" t="n">
        <v>1</v>
      </c>
      <c r="E1140" s="8" t="n">
        <v>0</v>
      </c>
      <c r="F1140" s="8" t="n">
        <f aca="false">D1140+E1140</f>
        <v>1</v>
      </c>
      <c r="G1140" s="23" t="n">
        <f aca="false">IF(F1140=0,"n/a",D1140/F1140)</f>
        <v>1</v>
      </c>
    </row>
    <row r="1141" customFormat="false" ht="15" hidden="false" customHeight="true" outlineLevel="0" collapsed="false">
      <c r="A1141" s="7" t="s">
        <v>62</v>
      </c>
      <c r="B1141" s="7" t="s">
        <v>1289</v>
      </c>
      <c r="C1141" s="7" t="s">
        <v>154</v>
      </c>
      <c r="D1141" s="8" t="n">
        <v>0</v>
      </c>
      <c r="E1141" s="8" t="n">
        <v>1</v>
      </c>
      <c r="F1141" s="8" t="n">
        <f aca="false">D1141+E1141</f>
        <v>1</v>
      </c>
      <c r="G1141" s="23" t="n">
        <f aca="false">IF(F1141=0,"n/a",D1141/F1141)</f>
        <v>0</v>
      </c>
    </row>
    <row r="1142" customFormat="false" ht="15" hidden="false" customHeight="true" outlineLevel="0" collapsed="false">
      <c r="A1142" s="7" t="s">
        <v>62</v>
      </c>
      <c r="B1142" s="7" t="s">
        <v>838</v>
      </c>
      <c r="C1142" s="7" t="s">
        <v>154</v>
      </c>
      <c r="D1142" s="8" t="n">
        <v>0</v>
      </c>
      <c r="E1142" s="8" t="n">
        <v>1</v>
      </c>
      <c r="F1142" s="8" t="n">
        <f aca="false">D1142+E1142</f>
        <v>1</v>
      </c>
      <c r="G1142" s="23" t="n">
        <f aca="false">IF(F1142=0,"n/a",D1142/F1142)</f>
        <v>0</v>
      </c>
    </row>
    <row r="1143" customFormat="false" ht="15" hidden="false" customHeight="true" outlineLevel="0" collapsed="false">
      <c r="A1143" s="7" t="s">
        <v>62</v>
      </c>
      <c r="B1143" s="7" t="s">
        <v>1290</v>
      </c>
      <c r="C1143" s="7" t="s">
        <v>154</v>
      </c>
      <c r="D1143" s="8" t="n">
        <v>0</v>
      </c>
      <c r="E1143" s="8" t="n">
        <v>1</v>
      </c>
      <c r="F1143" s="8" t="n">
        <f aca="false">D1143+E1143</f>
        <v>1</v>
      </c>
      <c r="G1143" s="23" t="n">
        <f aca="false">IF(F1143=0,"n/a",D1143/F1143)</f>
        <v>0</v>
      </c>
    </row>
    <row r="1144" customFormat="false" ht="15" hidden="false" customHeight="true" outlineLevel="0" collapsed="false">
      <c r="A1144" s="7" t="s">
        <v>62</v>
      </c>
      <c r="B1144" s="7" t="s">
        <v>1291</v>
      </c>
      <c r="C1144" s="7" t="s">
        <v>154</v>
      </c>
      <c r="D1144" s="8" t="n">
        <v>1</v>
      </c>
      <c r="E1144" s="8" t="n">
        <v>0</v>
      </c>
      <c r="F1144" s="8" t="n">
        <f aca="false">D1144+E1144</f>
        <v>1</v>
      </c>
      <c r="G1144" s="23" t="n">
        <f aca="false">IF(F1144=0,"n/a",D1144/F1144)</f>
        <v>1</v>
      </c>
    </row>
    <row r="1145" customFormat="false" ht="15" hidden="false" customHeight="true" outlineLevel="0" collapsed="false">
      <c r="A1145" s="7" t="s">
        <v>62</v>
      </c>
      <c r="B1145" s="7" t="s">
        <v>1292</v>
      </c>
      <c r="C1145" s="7" t="s">
        <v>154</v>
      </c>
      <c r="D1145" s="8" t="n">
        <v>0</v>
      </c>
      <c r="E1145" s="8" t="n">
        <v>1</v>
      </c>
      <c r="F1145" s="8" t="n">
        <f aca="false">D1145+E1145</f>
        <v>1</v>
      </c>
      <c r="G1145" s="23" t="n">
        <f aca="false">IF(F1145=0,"n/a",D1145/F1145)</f>
        <v>0</v>
      </c>
    </row>
    <row r="1146" customFormat="false" ht="15" hidden="false" customHeight="true" outlineLevel="0" collapsed="false">
      <c r="A1146" s="7" t="s">
        <v>62</v>
      </c>
      <c r="B1146" s="7" t="s">
        <v>1293</v>
      </c>
      <c r="C1146" s="7" t="s">
        <v>154</v>
      </c>
      <c r="D1146" s="8" t="n">
        <v>1</v>
      </c>
      <c r="E1146" s="8" t="n">
        <v>0</v>
      </c>
      <c r="F1146" s="8" t="n">
        <f aca="false">D1146+E1146</f>
        <v>1</v>
      </c>
      <c r="G1146" s="23" t="n">
        <f aca="false">IF(F1146=0,"n/a",D1146/F1146)</f>
        <v>1</v>
      </c>
    </row>
    <row r="1147" customFormat="false" ht="15" hidden="false" customHeight="true" outlineLevel="0" collapsed="false">
      <c r="A1147" s="7" t="s">
        <v>62</v>
      </c>
      <c r="B1147" s="7" t="s">
        <v>1294</v>
      </c>
      <c r="C1147" s="7" t="s">
        <v>154</v>
      </c>
      <c r="D1147" s="8" t="n">
        <v>0</v>
      </c>
      <c r="E1147" s="8" t="n">
        <v>1</v>
      </c>
      <c r="F1147" s="8" t="n">
        <f aca="false">D1147+E1147</f>
        <v>1</v>
      </c>
      <c r="G1147" s="23" t="n">
        <f aca="false">IF(F1147=0,"n/a",D1147/F1147)</f>
        <v>0</v>
      </c>
    </row>
    <row r="1148" customFormat="false" ht="15" hidden="false" customHeight="true" outlineLevel="0" collapsed="false">
      <c r="A1148" s="7" t="s">
        <v>62</v>
      </c>
      <c r="B1148" s="7" t="s">
        <v>1295</v>
      </c>
      <c r="C1148" s="7" t="s">
        <v>154</v>
      </c>
      <c r="D1148" s="8" t="n">
        <v>0</v>
      </c>
      <c r="E1148" s="8" t="n">
        <v>1</v>
      </c>
      <c r="F1148" s="8" t="n">
        <f aca="false">D1148+E1148</f>
        <v>1</v>
      </c>
      <c r="G1148" s="23" t="n">
        <f aca="false">IF(F1148=0,"n/a",D1148/F1148)</f>
        <v>0</v>
      </c>
    </row>
    <row r="1149" customFormat="false" ht="15" hidden="false" customHeight="true" outlineLevel="0" collapsed="false">
      <c r="A1149" s="7" t="s">
        <v>62</v>
      </c>
      <c r="B1149" s="7" t="s">
        <v>1296</v>
      </c>
      <c r="C1149" s="7" t="s">
        <v>154</v>
      </c>
      <c r="D1149" s="8" t="n">
        <v>0</v>
      </c>
      <c r="E1149" s="8" t="n">
        <v>1</v>
      </c>
      <c r="F1149" s="8" t="n">
        <f aca="false">D1149+E1149</f>
        <v>1</v>
      </c>
      <c r="G1149" s="23" t="n">
        <f aca="false">IF(F1149=0,"n/a",D1149/F1149)</f>
        <v>0</v>
      </c>
    </row>
    <row r="1150" customFormat="false" ht="15" hidden="false" customHeight="true" outlineLevel="0" collapsed="false">
      <c r="A1150" s="7" t="s">
        <v>62</v>
      </c>
      <c r="B1150" s="7" t="s">
        <v>1297</v>
      </c>
      <c r="C1150" s="7" t="s">
        <v>154</v>
      </c>
      <c r="D1150" s="8" t="n">
        <v>1</v>
      </c>
      <c r="E1150" s="8" t="n">
        <v>0</v>
      </c>
      <c r="F1150" s="8" t="n">
        <f aca="false">D1150+E1150</f>
        <v>1</v>
      </c>
      <c r="G1150" s="23" t="n">
        <f aca="false">IF(F1150=0,"n/a",D1150/F1150)</f>
        <v>1</v>
      </c>
    </row>
    <row r="1151" customFormat="false" ht="15" hidden="false" customHeight="true" outlineLevel="0" collapsed="false">
      <c r="A1151" s="7" t="s">
        <v>62</v>
      </c>
      <c r="B1151" s="7" t="s">
        <v>1298</v>
      </c>
      <c r="C1151" s="7" t="s">
        <v>154</v>
      </c>
      <c r="D1151" s="8" t="n">
        <v>0</v>
      </c>
      <c r="E1151" s="8" t="n">
        <v>1</v>
      </c>
      <c r="F1151" s="8" t="n">
        <f aca="false">D1151+E1151</f>
        <v>1</v>
      </c>
      <c r="G1151" s="23" t="n">
        <f aca="false">IF(F1151=0,"n/a",D1151/F1151)</f>
        <v>0</v>
      </c>
    </row>
    <row r="1152" customFormat="false" ht="15" hidden="false" customHeight="true" outlineLevel="0" collapsed="false">
      <c r="A1152" s="7" t="s">
        <v>62</v>
      </c>
      <c r="B1152" s="7" t="s">
        <v>1299</v>
      </c>
      <c r="C1152" s="7" t="s">
        <v>154</v>
      </c>
      <c r="D1152" s="8" t="n">
        <v>0</v>
      </c>
      <c r="E1152" s="8" t="n">
        <v>1</v>
      </c>
      <c r="F1152" s="8" t="n">
        <f aca="false">D1152+E1152</f>
        <v>1</v>
      </c>
      <c r="G1152" s="23" t="n">
        <f aca="false">IF(F1152=0,"n/a",D1152/F1152)</f>
        <v>0</v>
      </c>
    </row>
    <row r="1153" customFormat="false" ht="15" hidden="false" customHeight="true" outlineLevel="0" collapsed="false">
      <c r="A1153" s="7" t="s">
        <v>155</v>
      </c>
      <c r="B1153" s="7" t="s">
        <v>1300</v>
      </c>
      <c r="C1153" s="7" t="s">
        <v>105</v>
      </c>
      <c r="D1153" s="8" t="n">
        <v>3</v>
      </c>
      <c r="E1153" s="8" t="n">
        <v>8</v>
      </c>
      <c r="F1153" s="8" t="n">
        <f aca="false">D1153+E1153</f>
        <v>11</v>
      </c>
      <c r="G1153" s="23" t="n">
        <f aca="false">IF(F1153=0,"n/a",D1153/F1153)</f>
        <v>0.272727272727273</v>
      </c>
    </row>
    <row r="1154" customFormat="false" ht="15" hidden="false" customHeight="true" outlineLevel="0" collapsed="false">
      <c r="A1154" s="7" t="s">
        <v>155</v>
      </c>
      <c r="B1154" s="7" t="s">
        <v>1301</v>
      </c>
      <c r="C1154" s="7" t="s">
        <v>105</v>
      </c>
      <c r="D1154" s="8" t="n">
        <v>0</v>
      </c>
      <c r="E1154" s="8" t="n">
        <v>9</v>
      </c>
      <c r="F1154" s="8" t="n">
        <f aca="false">D1154+E1154</f>
        <v>9</v>
      </c>
      <c r="G1154" s="23" t="n">
        <f aca="false">IF(F1154=0,"n/a",D1154/F1154)</f>
        <v>0</v>
      </c>
    </row>
    <row r="1155" customFormat="false" ht="15" hidden="false" customHeight="true" outlineLevel="0" collapsed="false">
      <c r="A1155" s="7" t="s">
        <v>155</v>
      </c>
      <c r="B1155" s="7" t="s">
        <v>1302</v>
      </c>
      <c r="C1155" s="7" t="s">
        <v>105</v>
      </c>
      <c r="D1155" s="8" t="n">
        <v>1</v>
      </c>
      <c r="E1155" s="8" t="n">
        <v>6</v>
      </c>
      <c r="F1155" s="8" t="n">
        <f aca="false">D1155+E1155</f>
        <v>7</v>
      </c>
      <c r="G1155" s="23" t="n">
        <f aca="false">IF(F1155=0,"n/a",D1155/F1155)</f>
        <v>0.142857142857143</v>
      </c>
    </row>
    <row r="1156" customFormat="false" ht="15" hidden="false" customHeight="true" outlineLevel="0" collapsed="false">
      <c r="A1156" s="7" t="s">
        <v>155</v>
      </c>
      <c r="B1156" s="7" t="s">
        <v>1303</v>
      </c>
      <c r="C1156" s="7" t="s">
        <v>105</v>
      </c>
      <c r="D1156" s="8" t="n">
        <v>0</v>
      </c>
      <c r="E1156" s="8" t="n">
        <v>7</v>
      </c>
      <c r="F1156" s="8" t="n">
        <f aca="false">D1156+E1156</f>
        <v>7</v>
      </c>
      <c r="G1156" s="23" t="n">
        <f aca="false">IF(F1156=0,"n/a",D1156/F1156)</f>
        <v>0</v>
      </c>
    </row>
    <row r="1157" customFormat="false" ht="15" hidden="false" customHeight="true" outlineLevel="0" collapsed="false">
      <c r="A1157" s="7" t="s">
        <v>155</v>
      </c>
      <c r="B1157" s="7" t="s">
        <v>1304</v>
      </c>
      <c r="C1157" s="7" t="s">
        <v>105</v>
      </c>
      <c r="D1157" s="8" t="n">
        <v>0</v>
      </c>
      <c r="E1157" s="8" t="n">
        <v>6</v>
      </c>
      <c r="F1157" s="8" t="n">
        <f aca="false">D1157+E1157</f>
        <v>6</v>
      </c>
      <c r="G1157" s="23" t="n">
        <f aca="false">IF(F1157=0,"n/a",D1157/F1157)</f>
        <v>0</v>
      </c>
    </row>
    <row r="1158" customFormat="false" ht="15" hidden="false" customHeight="true" outlineLevel="0" collapsed="false">
      <c r="A1158" s="7" t="s">
        <v>155</v>
      </c>
      <c r="B1158" s="7" t="s">
        <v>1305</v>
      </c>
      <c r="C1158" s="7" t="s">
        <v>105</v>
      </c>
      <c r="D1158" s="8" t="n">
        <v>0</v>
      </c>
      <c r="E1158" s="8" t="n">
        <v>5</v>
      </c>
      <c r="F1158" s="8" t="n">
        <f aca="false">D1158+E1158</f>
        <v>5</v>
      </c>
      <c r="G1158" s="23" t="n">
        <f aca="false">IF(F1158=0,"n/a",D1158/F1158)</f>
        <v>0</v>
      </c>
    </row>
    <row r="1159" customFormat="false" ht="15" hidden="false" customHeight="true" outlineLevel="0" collapsed="false">
      <c r="A1159" s="7" t="s">
        <v>155</v>
      </c>
      <c r="B1159" s="7" t="s">
        <v>1306</v>
      </c>
      <c r="C1159" s="7" t="s">
        <v>105</v>
      </c>
      <c r="D1159" s="8" t="n">
        <v>1</v>
      </c>
      <c r="E1159" s="8" t="n">
        <v>4</v>
      </c>
      <c r="F1159" s="8" t="n">
        <f aca="false">D1159+E1159</f>
        <v>5</v>
      </c>
      <c r="G1159" s="23" t="n">
        <f aca="false">IF(F1159=0,"n/a",D1159/F1159)</f>
        <v>0.2</v>
      </c>
    </row>
    <row r="1160" customFormat="false" ht="15" hidden="false" customHeight="true" outlineLevel="0" collapsed="false">
      <c r="A1160" s="7" t="s">
        <v>155</v>
      </c>
      <c r="B1160" s="7" t="s">
        <v>1307</v>
      </c>
      <c r="C1160" s="7" t="s">
        <v>105</v>
      </c>
      <c r="D1160" s="8" t="n">
        <v>0</v>
      </c>
      <c r="E1160" s="8" t="n">
        <v>4</v>
      </c>
      <c r="F1160" s="8" t="n">
        <f aca="false">D1160+E1160</f>
        <v>4</v>
      </c>
      <c r="G1160" s="23" t="n">
        <f aca="false">IF(F1160=0,"n/a",D1160/F1160)</f>
        <v>0</v>
      </c>
    </row>
    <row r="1161" customFormat="false" ht="15" hidden="false" customHeight="true" outlineLevel="0" collapsed="false">
      <c r="A1161" s="7" t="s">
        <v>155</v>
      </c>
      <c r="B1161" s="7" t="s">
        <v>1308</v>
      </c>
      <c r="C1161" s="7" t="s">
        <v>105</v>
      </c>
      <c r="D1161" s="8" t="n">
        <v>1</v>
      </c>
      <c r="E1161" s="8" t="n">
        <v>2</v>
      </c>
      <c r="F1161" s="8" t="n">
        <f aca="false">D1161+E1161</f>
        <v>3</v>
      </c>
      <c r="G1161" s="23" t="n">
        <f aca="false">IF(F1161=0,"n/a",D1161/F1161)</f>
        <v>0.333333333333333</v>
      </c>
    </row>
    <row r="1162" customFormat="false" ht="15" hidden="false" customHeight="true" outlineLevel="0" collapsed="false">
      <c r="A1162" s="7" t="s">
        <v>155</v>
      </c>
      <c r="B1162" s="7" t="s">
        <v>1309</v>
      </c>
      <c r="C1162" s="7" t="s">
        <v>105</v>
      </c>
      <c r="D1162" s="8" t="n">
        <v>2</v>
      </c>
      <c r="E1162" s="8" t="n">
        <v>1</v>
      </c>
      <c r="F1162" s="8" t="n">
        <f aca="false">D1162+E1162</f>
        <v>3</v>
      </c>
      <c r="G1162" s="23" t="n">
        <f aca="false">IF(F1162=0,"n/a",D1162/F1162)</f>
        <v>0.666666666666667</v>
      </c>
    </row>
    <row r="1163" customFormat="false" ht="15" hidden="false" customHeight="true" outlineLevel="0" collapsed="false">
      <c r="A1163" s="7" t="s">
        <v>155</v>
      </c>
      <c r="B1163" s="7" t="s">
        <v>1310</v>
      </c>
      <c r="C1163" s="7" t="s">
        <v>105</v>
      </c>
      <c r="D1163" s="8" t="n">
        <v>0</v>
      </c>
      <c r="E1163" s="8" t="n">
        <v>3</v>
      </c>
      <c r="F1163" s="8" t="n">
        <f aca="false">D1163+E1163</f>
        <v>3</v>
      </c>
      <c r="G1163" s="23" t="n">
        <f aca="false">IF(F1163=0,"n/a",D1163/F1163)</f>
        <v>0</v>
      </c>
    </row>
    <row r="1164" customFormat="false" ht="15" hidden="false" customHeight="true" outlineLevel="0" collapsed="false">
      <c r="A1164" s="7" t="s">
        <v>155</v>
      </c>
      <c r="B1164" s="7" t="s">
        <v>1311</v>
      </c>
      <c r="C1164" s="7" t="s">
        <v>105</v>
      </c>
      <c r="D1164" s="8" t="n">
        <v>0</v>
      </c>
      <c r="E1164" s="8" t="n">
        <v>2</v>
      </c>
      <c r="F1164" s="8" t="n">
        <f aca="false">D1164+E1164</f>
        <v>2</v>
      </c>
      <c r="G1164" s="23" t="n">
        <f aca="false">IF(F1164=0,"n/a",D1164/F1164)</f>
        <v>0</v>
      </c>
    </row>
    <row r="1165" customFormat="false" ht="15" hidden="false" customHeight="true" outlineLevel="0" collapsed="false">
      <c r="A1165" s="7" t="s">
        <v>155</v>
      </c>
      <c r="B1165" s="7" t="s">
        <v>1312</v>
      </c>
      <c r="C1165" s="7" t="s">
        <v>105</v>
      </c>
      <c r="D1165" s="8" t="n">
        <v>2</v>
      </c>
      <c r="E1165" s="8" t="n">
        <v>0</v>
      </c>
      <c r="F1165" s="8" t="n">
        <f aca="false">D1165+E1165</f>
        <v>2</v>
      </c>
      <c r="G1165" s="23" t="n">
        <f aca="false">IF(F1165=0,"n/a",D1165/F1165)</f>
        <v>1</v>
      </c>
    </row>
    <row r="1166" customFormat="false" ht="15" hidden="false" customHeight="true" outlineLevel="0" collapsed="false">
      <c r="A1166" s="7" t="s">
        <v>155</v>
      </c>
      <c r="B1166" s="7" t="s">
        <v>1313</v>
      </c>
      <c r="C1166" s="7" t="s">
        <v>105</v>
      </c>
      <c r="D1166" s="8" t="n">
        <v>0</v>
      </c>
      <c r="E1166" s="8" t="n">
        <v>1</v>
      </c>
      <c r="F1166" s="8" t="n">
        <f aca="false">D1166+E1166</f>
        <v>1</v>
      </c>
      <c r="G1166" s="23" t="n">
        <f aca="false">IF(F1166=0,"n/a",D1166/F1166)</f>
        <v>0</v>
      </c>
    </row>
    <row r="1167" customFormat="false" ht="15" hidden="false" customHeight="true" outlineLevel="0" collapsed="false">
      <c r="A1167" s="7" t="s">
        <v>155</v>
      </c>
      <c r="B1167" s="7" t="s">
        <v>1314</v>
      </c>
      <c r="C1167" s="7" t="s">
        <v>105</v>
      </c>
      <c r="D1167" s="8" t="n">
        <v>1</v>
      </c>
      <c r="E1167" s="8" t="n">
        <v>0</v>
      </c>
      <c r="F1167" s="8" t="n">
        <f aca="false">D1167+E1167</f>
        <v>1</v>
      </c>
      <c r="G1167" s="23" t="n">
        <f aca="false">IF(F1167=0,"n/a",D1167/F1167)</f>
        <v>1</v>
      </c>
    </row>
    <row r="1168" customFormat="false" ht="15" hidden="false" customHeight="true" outlineLevel="0" collapsed="false">
      <c r="A1168" s="7" t="s">
        <v>155</v>
      </c>
      <c r="B1168" s="7" t="s">
        <v>1315</v>
      </c>
      <c r="C1168" s="7" t="s">
        <v>105</v>
      </c>
      <c r="D1168" s="8" t="n">
        <v>1</v>
      </c>
      <c r="E1168" s="8" t="n">
        <v>0</v>
      </c>
      <c r="F1168" s="8" t="n">
        <f aca="false">D1168+E1168</f>
        <v>1</v>
      </c>
      <c r="G1168" s="23" t="n">
        <f aca="false">IF(F1168=0,"n/a",D1168/F1168)</f>
        <v>1</v>
      </c>
    </row>
    <row r="1169" customFormat="false" ht="15" hidden="false" customHeight="true" outlineLevel="0" collapsed="false">
      <c r="A1169" s="7" t="s">
        <v>155</v>
      </c>
      <c r="B1169" s="7" t="s">
        <v>1316</v>
      </c>
      <c r="C1169" s="7" t="s">
        <v>105</v>
      </c>
      <c r="D1169" s="8" t="n">
        <v>1</v>
      </c>
      <c r="E1169" s="8" t="n">
        <v>0</v>
      </c>
      <c r="F1169" s="8" t="n">
        <f aca="false">D1169+E1169</f>
        <v>1</v>
      </c>
      <c r="G1169" s="23" t="n">
        <f aca="false">IF(F1169=0,"n/a",D1169/F1169)</f>
        <v>1</v>
      </c>
    </row>
    <row r="1170" customFormat="false" ht="15" hidden="false" customHeight="true" outlineLevel="0" collapsed="false">
      <c r="A1170" s="7" t="s">
        <v>155</v>
      </c>
      <c r="B1170" s="7" t="s">
        <v>1317</v>
      </c>
      <c r="C1170" s="7" t="s">
        <v>105</v>
      </c>
      <c r="D1170" s="8" t="n">
        <v>0</v>
      </c>
      <c r="E1170" s="8" t="n">
        <v>1</v>
      </c>
      <c r="F1170" s="8" t="n">
        <f aca="false">D1170+E1170</f>
        <v>1</v>
      </c>
      <c r="G1170" s="23" t="n">
        <f aca="false">IF(F1170=0,"n/a",D1170/F1170)</f>
        <v>0</v>
      </c>
    </row>
    <row r="1171" customFormat="false" ht="15" hidden="false" customHeight="true" outlineLevel="0" collapsed="false">
      <c r="A1171" s="7" t="s">
        <v>155</v>
      </c>
      <c r="B1171" s="7" t="s">
        <v>1318</v>
      </c>
      <c r="C1171" s="7" t="s">
        <v>105</v>
      </c>
      <c r="D1171" s="8" t="n">
        <v>0</v>
      </c>
      <c r="E1171" s="8" t="n">
        <v>1</v>
      </c>
      <c r="F1171" s="8" t="n">
        <f aca="false">D1171+E1171</f>
        <v>1</v>
      </c>
      <c r="G1171" s="23" t="n">
        <f aca="false">IF(F1171=0,"n/a",D1171/F1171)</f>
        <v>0</v>
      </c>
    </row>
    <row r="1172" customFormat="false" ht="15" hidden="false" customHeight="true" outlineLevel="0" collapsed="false">
      <c r="A1172" s="7" t="s">
        <v>155</v>
      </c>
      <c r="B1172" s="7" t="s">
        <v>1319</v>
      </c>
      <c r="C1172" s="7" t="s">
        <v>105</v>
      </c>
      <c r="D1172" s="8" t="n">
        <v>0</v>
      </c>
      <c r="E1172" s="8" t="n">
        <v>1</v>
      </c>
      <c r="F1172" s="8" t="n">
        <f aca="false">D1172+E1172</f>
        <v>1</v>
      </c>
      <c r="G1172" s="23" t="n">
        <f aca="false">IF(F1172=0,"n/a",D1172/F1172)</f>
        <v>0</v>
      </c>
    </row>
    <row r="1173" customFormat="false" ht="15" hidden="false" customHeight="true" outlineLevel="0" collapsed="false">
      <c r="A1173" s="7" t="s">
        <v>156</v>
      </c>
      <c r="B1173" s="7" t="s">
        <v>1320</v>
      </c>
      <c r="C1173" s="7" t="s">
        <v>157</v>
      </c>
      <c r="D1173" s="8" t="n">
        <v>2</v>
      </c>
      <c r="E1173" s="8" t="n">
        <v>9</v>
      </c>
      <c r="F1173" s="8" t="n">
        <f aca="false">D1173+E1173</f>
        <v>11</v>
      </c>
      <c r="G1173" s="23" t="n">
        <f aca="false">IF(F1173=0,"n/a",D1173/F1173)</f>
        <v>0.181818181818182</v>
      </c>
    </row>
    <row r="1174" customFormat="false" ht="15" hidden="false" customHeight="true" outlineLevel="0" collapsed="false">
      <c r="A1174" s="7" t="s">
        <v>156</v>
      </c>
      <c r="B1174" s="7" t="s">
        <v>1276</v>
      </c>
      <c r="C1174" s="7" t="s">
        <v>157</v>
      </c>
      <c r="D1174" s="8" t="n">
        <v>7</v>
      </c>
      <c r="E1174" s="8" t="n">
        <v>1</v>
      </c>
      <c r="F1174" s="8" t="n">
        <f aca="false">D1174+E1174</f>
        <v>8</v>
      </c>
      <c r="G1174" s="23" t="n">
        <f aca="false">IF(F1174=0,"n/a",D1174/F1174)</f>
        <v>0.875</v>
      </c>
    </row>
    <row r="1175" customFormat="false" ht="15" hidden="false" customHeight="true" outlineLevel="0" collapsed="false">
      <c r="A1175" s="7" t="s">
        <v>156</v>
      </c>
      <c r="B1175" s="7" t="s">
        <v>1321</v>
      </c>
      <c r="C1175" s="7" t="s">
        <v>157</v>
      </c>
      <c r="D1175" s="8" t="n">
        <v>7</v>
      </c>
      <c r="E1175" s="8" t="n">
        <v>1</v>
      </c>
      <c r="F1175" s="8" t="n">
        <f aca="false">D1175+E1175</f>
        <v>8</v>
      </c>
      <c r="G1175" s="23" t="n">
        <f aca="false">IF(F1175=0,"n/a",D1175/F1175)</f>
        <v>0.875</v>
      </c>
    </row>
    <row r="1176" customFormat="false" ht="15" hidden="false" customHeight="true" outlineLevel="0" collapsed="false">
      <c r="A1176" s="7" t="s">
        <v>156</v>
      </c>
      <c r="B1176" s="7" t="s">
        <v>1322</v>
      </c>
      <c r="C1176" s="7" t="s">
        <v>157</v>
      </c>
      <c r="D1176" s="8" t="n">
        <v>0</v>
      </c>
      <c r="E1176" s="8" t="n">
        <v>7</v>
      </c>
      <c r="F1176" s="8" t="n">
        <f aca="false">D1176+E1176</f>
        <v>7</v>
      </c>
      <c r="G1176" s="23" t="n">
        <f aca="false">IF(F1176=0,"n/a",D1176/F1176)</f>
        <v>0</v>
      </c>
    </row>
    <row r="1177" customFormat="false" ht="15" hidden="false" customHeight="true" outlineLevel="0" collapsed="false">
      <c r="A1177" s="7" t="s">
        <v>156</v>
      </c>
      <c r="B1177" s="7" t="s">
        <v>1323</v>
      </c>
      <c r="C1177" s="7" t="s">
        <v>157</v>
      </c>
      <c r="D1177" s="8" t="n">
        <v>0</v>
      </c>
      <c r="E1177" s="8" t="n">
        <v>7</v>
      </c>
      <c r="F1177" s="8" t="n">
        <f aca="false">D1177+E1177</f>
        <v>7</v>
      </c>
      <c r="G1177" s="23" t="n">
        <f aca="false">IF(F1177=0,"n/a",D1177/F1177)</f>
        <v>0</v>
      </c>
    </row>
    <row r="1178" customFormat="false" ht="15" hidden="false" customHeight="true" outlineLevel="0" collapsed="false">
      <c r="A1178" s="7" t="s">
        <v>156</v>
      </c>
      <c r="B1178" s="7" t="s">
        <v>974</v>
      </c>
      <c r="C1178" s="7" t="s">
        <v>157</v>
      </c>
      <c r="D1178" s="8" t="n">
        <v>1</v>
      </c>
      <c r="E1178" s="8" t="n">
        <v>5</v>
      </c>
      <c r="F1178" s="8" t="n">
        <f aca="false">D1178+E1178</f>
        <v>6</v>
      </c>
      <c r="G1178" s="23" t="n">
        <f aca="false">IF(F1178=0,"n/a",D1178/F1178)</f>
        <v>0.166666666666667</v>
      </c>
    </row>
    <row r="1179" customFormat="false" ht="15" hidden="false" customHeight="true" outlineLevel="0" collapsed="false">
      <c r="A1179" s="7" t="s">
        <v>156</v>
      </c>
      <c r="B1179" s="7" t="s">
        <v>691</v>
      </c>
      <c r="C1179" s="7" t="s">
        <v>157</v>
      </c>
      <c r="D1179" s="8" t="n">
        <v>5</v>
      </c>
      <c r="E1179" s="8" t="n">
        <v>0</v>
      </c>
      <c r="F1179" s="8" t="n">
        <f aca="false">D1179+E1179</f>
        <v>5</v>
      </c>
      <c r="G1179" s="23" t="n">
        <f aca="false">IF(F1179=0,"n/a",D1179/F1179)</f>
        <v>1</v>
      </c>
    </row>
    <row r="1180" customFormat="false" ht="15" hidden="false" customHeight="true" outlineLevel="0" collapsed="false">
      <c r="A1180" s="7" t="s">
        <v>156</v>
      </c>
      <c r="B1180" s="7" t="s">
        <v>1324</v>
      </c>
      <c r="C1180" s="7" t="s">
        <v>157</v>
      </c>
      <c r="D1180" s="8" t="n">
        <v>0</v>
      </c>
      <c r="E1180" s="8" t="n">
        <v>4</v>
      </c>
      <c r="F1180" s="8" t="n">
        <f aca="false">D1180+E1180</f>
        <v>4</v>
      </c>
      <c r="G1180" s="23" t="n">
        <f aca="false">IF(F1180=0,"n/a",D1180/F1180)</f>
        <v>0</v>
      </c>
    </row>
    <row r="1181" customFormat="false" ht="15" hidden="false" customHeight="true" outlineLevel="0" collapsed="false">
      <c r="A1181" s="7" t="s">
        <v>156</v>
      </c>
      <c r="B1181" s="7" t="s">
        <v>1325</v>
      </c>
      <c r="C1181" s="7" t="s">
        <v>157</v>
      </c>
      <c r="D1181" s="8" t="n">
        <v>0</v>
      </c>
      <c r="E1181" s="8" t="n">
        <v>4</v>
      </c>
      <c r="F1181" s="8" t="n">
        <f aca="false">D1181+E1181</f>
        <v>4</v>
      </c>
      <c r="G1181" s="23" t="n">
        <f aca="false">IF(F1181=0,"n/a",D1181/F1181)</f>
        <v>0</v>
      </c>
    </row>
    <row r="1182" customFormat="false" ht="15" hidden="false" customHeight="true" outlineLevel="0" collapsed="false">
      <c r="A1182" s="7" t="s">
        <v>156</v>
      </c>
      <c r="B1182" s="7" t="s">
        <v>1132</v>
      </c>
      <c r="C1182" s="7" t="s">
        <v>157</v>
      </c>
      <c r="D1182" s="8" t="n">
        <v>0</v>
      </c>
      <c r="E1182" s="8" t="n">
        <v>4</v>
      </c>
      <c r="F1182" s="8" t="n">
        <f aca="false">D1182+E1182</f>
        <v>4</v>
      </c>
      <c r="G1182" s="23" t="n">
        <f aca="false">IF(F1182=0,"n/a",D1182/F1182)</f>
        <v>0</v>
      </c>
    </row>
    <row r="1183" customFormat="false" ht="15" hidden="false" customHeight="true" outlineLevel="0" collapsed="false">
      <c r="A1183" s="7" t="s">
        <v>156</v>
      </c>
      <c r="B1183" s="7" t="s">
        <v>749</v>
      </c>
      <c r="C1183" s="7" t="s">
        <v>157</v>
      </c>
      <c r="D1183" s="8" t="n">
        <v>0</v>
      </c>
      <c r="E1183" s="8" t="n">
        <v>3</v>
      </c>
      <c r="F1183" s="8" t="n">
        <f aca="false">D1183+E1183</f>
        <v>3</v>
      </c>
      <c r="G1183" s="23" t="n">
        <f aca="false">IF(F1183=0,"n/a",D1183/F1183)</f>
        <v>0</v>
      </c>
    </row>
    <row r="1184" customFormat="false" ht="15" hidden="false" customHeight="true" outlineLevel="0" collapsed="false">
      <c r="A1184" s="7" t="s">
        <v>156</v>
      </c>
      <c r="B1184" s="7" t="s">
        <v>1326</v>
      </c>
      <c r="C1184" s="7" t="s">
        <v>157</v>
      </c>
      <c r="D1184" s="8" t="n">
        <v>0</v>
      </c>
      <c r="E1184" s="8" t="n">
        <v>3</v>
      </c>
      <c r="F1184" s="8" t="n">
        <f aca="false">D1184+E1184</f>
        <v>3</v>
      </c>
      <c r="G1184" s="23" t="n">
        <f aca="false">IF(F1184=0,"n/a",D1184/F1184)</f>
        <v>0</v>
      </c>
    </row>
    <row r="1185" customFormat="false" ht="15" hidden="false" customHeight="true" outlineLevel="0" collapsed="false">
      <c r="A1185" s="7" t="s">
        <v>156</v>
      </c>
      <c r="B1185" s="7" t="s">
        <v>1327</v>
      </c>
      <c r="C1185" s="7" t="s">
        <v>157</v>
      </c>
      <c r="D1185" s="8" t="n">
        <v>0</v>
      </c>
      <c r="E1185" s="8" t="n">
        <v>3</v>
      </c>
      <c r="F1185" s="8" t="n">
        <f aca="false">D1185+E1185</f>
        <v>3</v>
      </c>
      <c r="G1185" s="23" t="n">
        <f aca="false">IF(F1185=0,"n/a",D1185/F1185)</f>
        <v>0</v>
      </c>
    </row>
    <row r="1186" customFormat="false" ht="15" hidden="false" customHeight="true" outlineLevel="0" collapsed="false">
      <c r="A1186" s="7" t="s">
        <v>156</v>
      </c>
      <c r="B1186" s="7" t="s">
        <v>1328</v>
      </c>
      <c r="C1186" s="7" t="s">
        <v>157</v>
      </c>
      <c r="D1186" s="8" t="n">
        <v>0</v>
      </c>
      <c r="E1186" s="8" t="n">
        <v>3</v>
      </c>
      <c r="F1186" s="8" t="n">
        <f aca="false">D1186+E1186</f>
        <v>3</v>
      </c>
      <c r="G1186" s="23" t="n">
        <f aca="false">IF(F1186=0,"n/a",D1186/F1186)</f>
        <v>0</v>
      </c>
    </row>
    <row r="1187" customFormat="false" ht="15" hidden="false" customHeight="true" outlineLevel="0" collapsed="false">
      <c r="A1187" s="7" t="s">
        <v>156</v>
      </c>
      <c r="B1187" s="7" t="s">
        <v>1329</v>
      </c>
      <c r="C1187" s="7" t="s">
        <v>157</v>
      </c>
      <c r="D1187" s="8" t="n">
        <v>2</v>
      </c>
      <c r="E1187" s="8" t="n">
        <v>1</v>
      </c>
      <c r="F1187" s="8" t="n">
        <f aca="false">D1187+E1187</f>
        <v>3</v>
      </c>
      <c r="G1187" s="23" t="n">
        <f aca="false">IF(F1187=0,"n/a",D1187/F1187)</f>
        <v>0.666666666666667</v>
      </c>
    </row>
    <row r="1188" customFormat="false" ht="15" hidden="false" customHeight="true" outlineLevel="0" collapsed="false">
      <c r="A1188" s="7" t="s">
        <v>156</v>
      </c>
      <c r="B1188" s="7" t="s">
        <v>1330</v>
      </c>
      <c r="C1188" s="7" t="s">
        <v>157</v>
      </c>
      <c r="D1188" s="8" t="n">
        <v>0</v>
      </c>
      <c r="E1188" s="8" t="n">
        <v>2</v>
      </c>
      <c r="F1188" s="8" t="n">
        <f aca="false">D1188+E1188</f>
        <v>2</v>
      </c>
      <c r="G1188" s="23" t="n">
        <f aca="false">IF(F1188=0,"n/a",D1188/F1188)</f>
        <v>0</v>
      </c>
    </row>
    <row r="1189" customFormat="false" ht="15" hidden="false" customHeight="true" outlineLevel="0" collapsed="false">
      <c r="A1189" s="7" t="s">
        <v>156</v>
      </c>
      <c r="B1189" s="7" t="s">
        <v>1331</v>
      </c>
      <c r="C1189" s="7" t="s">
        <v>157</v>
      </c>
      <c r="D1189" s="8" t="n">
        <v>1</v>
      </c>
      <c r="E1189" s="8" t="n">
        <v>1</v>
      </c>
      <c r="F1189" s="8" t="n">
        <f aca="false">D1189+E1189</f>
        <v>2</v>
      </c>
      <c r="G1189" s="23" t="n">
        <f aca="false">IF(F1189=0,"n/a",D1189/F1189)</f>
        <v>0.5</v>
      </c>
    </row>
    <row r="1190" customFormat="false" ht="15" hidden="false" customHeight="true" outlineLevel="0" collapsed="false">
      <c r="A1190" s="7" t="s">
        <v>156</v>
      </c>
      <c r="B1190" s="7" t="s">
        <v>1332</v>
      </c>
      <c r="C1190" s="7" t="s">
        <v>157</v>
      </c>
      <c r="D1190" s="8" t="n">
        <v>0</v>
      </c>
      <c r="E1190" s="8" t="n">
        <v>2</v>
      </c>
      <c r="F1190" s="8" t="n">
        <f aca="false">D1190+E1190</f>
        <v>2</v>
      </c>
      <c r="G1190" s="23" t="n">
        <f aca="false">IF(F1190=0,"n/a",D1190/F1190)</f>
        <v>0</v>
      </c>
    </row>
    <row r="1191" customFormat="false" ht="15" hidden="false" customHeight="true" outlineLevel="0" collapsed="false">
      <c r="A1191" s="7" t="s">
        <v>156</v>
      </c>
      <c r="B1191" s="7" t="s">
        <v>1333</v>
      </c>
      <c r="C1191" s="7" t="s">
        <v>157</v>
      </c>
      <c r="D1191" s="8" t="n">
        <v>0</v>
      </c>
      <c r="E1191" s="8" t="n">
        <v>2</v>
      </c>
      <c r="F1191" s="8" t="n">
        <f aca="false">D1191+E1191</f>
        <v>2</v>
      </c>
      <c r="G1191" s="23" t="n">
        <f aca="false">IF(F1191=0,"n/a",D1191/F1191)</f>
        <v>0</v>
      </c>
    </row>
    <row r="1192" customFormat="false" ht="15" hidden="false" customHeight="true" outlineLevel="0" collapsed="false">
      <c r="A1192" s="7" t="s">
        <v>156</v>
      </c>
      <c r="B1192" s="7" t="s">
        <v>1334</v>
      </c>
      <c r="C1192" s="7" t="s">
        <v>157</v>
      </c>
      <c r="D1192" s="8" t="n">
        <v>0</v>
      </c>
      <c r="E1192" s="8" t="n">
        <v>2</v>
      </c>
      <c r="F1192" s="8" t="n">
        <f aca="false">D1192+E1192</f>
        <v>2</v>
      </c>
      <c r="G1192" s="23" t="n">
        <f aca="false">IF(F1192=0,"n/a",D1192/F1192)</f>
        <v>0</v>
      </c>
    </row>
    <row r="1193" customFormat="false" ht="15" hidden="false" customHeight="true" outlineLevel="0" collapsed="false">
      <c r="A1193" s="7" t="s">
        <v>156</v>
      </c>
      <c r="B1193" s="7" t="s">
        <v>1335</v>
      </c>
      <c r="C1193" s="7" t="s">
        <v>157</v>
      </c>
      <c r="D1193" s="8" t="n">
        <v>1</v>
      </c>
      <c r="E1193" s="8" t="n">
        <v>1</v>
      </c>
      <c r="F1193" s="8" t="n">
        <f aca="false">D1193+E1193</f>
        <v>2</v>
      </c>
      <c r="G1193" s="23" t="n">
        <f aca="false">IF(F1193=0,"n/a",D1193/F1193)</f>
        <v>0.5</v>
      </c>
    </row>
    <row r="1194" customFormat="false" ht="15" hidden="false" customHeight="true" outlineLevel="0" collapsed="false">
      <c r="A1194" s="7" t="s">
        <v>156</v>
      </c>
      <c r="B1194" s="7" t="s">
        <v>1336</v>
      </c>
      <c r="C1194" s="7" t="s">
        <v>157</v>
      </c>
      <c r="D1194" s="8" t="n">
        <v>0</v>
      </c>
      <c r="E1194" s="8" t="n">
        <v>1</v>
      </c>
      <c r="F1194" s="8" t="n">
        <f aca="false">D1194+E1194</f>
        <v>1</v>
      </c>
      <c r="G1194" s="23" t="n">
        <f aca="false">IF(F1194=0,"n/a",D1194/F1194)</f>
        <v>0</v>
      </c>
    </row>
    <row r="1195" customFormat="false" ht="15" hidden="false" customHeight="true" outlineLevel="0" collapsed="false">
      <c r="A1195" s="7" t="s">
        <v>156</v>
      </c>
      <c r="B1195" s="7" t="s">
        <v>1337</v>
      </c>
      <c r="C1195" s="7" t="s">
        <v>157</v>
      </c>
      <c r="D1195" s="8" t="n">
        <v>0</v>
      </c>
      <c r="E1195" s="8" t="n">
        <v>1</v>
      </c>
      <c r="F1195" s="8" t="n">
        <f aca="false">D1195+E1195</f>
        <v>1</v>
      </c>
      <c r="G1195" s="23" t="n">
        <f aca="false">IF(F1195=0,"n/a",D1195/F1195)</f>
        <v>0</v>
      </c>
    </row>
    <row r="1196" customFormat="false" ht="15" hidden="false" customHeight="true" outlineLevel="0" collapsed="false">
      <c r="A1196" s="7" t="s">
        <v>156</v>
      </c>
      <c r="B1196" s="7" t="s">
        <v>1338</v>
      </c>
      <c r="C1196" s="7" t="s">
        <v>157</v>
      </c>
      <c r="D1196" s="8" t="n">
        <v>0</v>
      </c>
      <c r="E1196" s="8" t="n">
        <v>1</v>
      </c>
      <c r="F1196" s="8" t="n">
        <f aca="false">D1196+E1196</f>
        <v>1</v>
      </c>
      <c r="G1196" s="23" t="n">
        <f aca="false">IF(F1196=0,"n/a",D1196/F1196)</f>
        <v>0</v>
      </c>
    </row>
    <row r="1197" customFormat="false" ht="15" hidden="false" customHeight="true" outlineLevel="0" collapsed="false">
      <c r="A1197" s="7" t="s">
        <v>156</v>
      </c>
      <c r="B1197" s="7" t="s">
        <v>1339</v>
      </c>
      <c r="C1197" s="7" t="s">
        <v>157</v>
      </c>
      <c r="D1197" s="8" t="n">
        <v>0</v>
      </c>
      <c r="E1197" s="8" t="n">
        <v>1</v>
      </c>
      <c r="F1197" s="8" t="n">
        <f aca="false">D1197+E1197</f>
        <v>1</v>
      </c>
      <c r="G1197" s="23" t="n">
        <f aca="false">IF(F1197=0,"n/a",D1197/F1197)</f>
        <v>0</v>
      </c>
    </row>
    <row r="1198" customFormat="false" ht="15" hidden="false" customHeight="true" outlineLevel="0" collapsed="false">
      <c r="A1198" s="7" t="s">
        <v>156</v>
      </c>
      <c r="B1198" s="7" t="s">
        <v>677</v>
      </c>
      <c r="C1198" s="7" t="s">
        <v>157</v>
      </c>
      <c r="D1198" s="8" t="n">
        <v>0</v>
      </c>
      <c r="E1198" s="8" t="n">
        <v>1</v>
      </c>
      <c r="F1198" s="8" t="n">
        <f aca="false">D1198+E1198</f>
        <v>1</v>
      </c>
      <c r="G1198" s="23" t="n">
        <f aca="false">IF(F1198=0,"n/a",D1198/F1198)</f>
        <v>0</v>
      </c>
    </row>
    <row r="1199" customFormat="false" ht="15" hidden="false" customHeight="true" outlineLevel="0" collapsed="false">
      <c r="A1199" s="7" t="s">
        <v>156</v>
      </c>
      <c r="B1199" s="7" t="s">
        <v>1340</v>
      </c>
      <c r="C1199" s="7" t="s">
        <v>157</v>
      </c>
      <c r="D1199" s="8" t="n">
        <v>0</v>
      </c>
      <c r="E1199" s="8" t="n">
        <v>1</v>
      </c>
      <c r="F1199" s="8" t="n">
        <f aca="false">D1199+E1199</f>
        <v>1</v>
      </c>
      <c r="G1199" s="23" t="n">
        <f aca="false">IF(F1199=0,"n/a",D1199/F1199)</f>
        <v>0</v>
      </c>
    </row>
    <row r="1200" customFormat="false" ht="15" hidden="false" customHeight="true" outlineLevel="0" collapsed="false">
      <c r="A1200" s="7" t="s">
        <v>156</v>
      </c>
      <c r="B1200" s="7" t="s">
        <v>1341</v>
      </c>
      <c r="C1200" s="7" t="s">
        <v>157</v>
      </c>
      <c r="D1200" s="8" t="n">
        <v>1</v>
      </c>
      <c r="E1200" s="8" t="n">
        <v>0</v>
      </c>
      <c r="F1200" s="8" t="n">
        <f aca="false">D1200+E1200</f>
        <v>1</v>
      </c>
      <c r="G1200" s="23" t="n">
        <f aca="false">IF(F1200=0,"n/a",D1200/F1200)</f>
        <v>1</v>
      </c>
    </row>
    <row r="1201" customFormat="false" ht="15" hidden="false" customHeight="true" outlineLevel="0" collapsed="false">
      <c r="A1201" s="7" t="s">
        <v>156</v>
      </c>
      <c r="B1201" s="7" t="s">
        <v>722</v>
      </c>
      <c r="C1201" s="7" t="s">
        <v>157</v>
      </c>
      <c r="D1201" s="8" t="n">
        <v>1</v>
      </c>
      <c r="E1201" s="8" t="n">
        <v>0</v>
      </c>
      <c r="F1201" s="8" t="n">
        <f aca="false">D1201+E1201</f>
        <v>1</v>
      </c>
      <c r="G1201" s="23" t="n">
        <f aca="false">IF(F1201=0,"n/a",D1201/F1201)</f>
        <v>1</v>
      </c>
    </row>
    <row r="1202" customFormat="false" ht="15" hidden="false" customHeight="true" outlineLevel="0" collapsed="false">
      <c r="A1202" s="7" t="s">
        <v>156</v>
      </c>
      <c r="B1202" s="7" t="s">
        <v>1342</v>
      </c>
      <c r="C1202" s="7" t="s">
        <v>157</v>
      </c>
      <c r="D1202" s="8" t="n">
        <v>0</v>
      </c>
      <c r="E1202" s="8" t="n">
        <v>1</v>
      </c>
      <c r="F1202" s="8" t="n">
        <f aca="false">D1202+E1202</f>
        <v>1</v>
      </c>
      <c r="G1202" s="23" t="n">
        <f aca="false">IF(F1202=0,"n/a",D1202/F1202)</f>
        <v>0</v>
      </c>
    </row>
    <row r="1203" customFormat="false" ht="15" hidden="false" customHeight="true" outlineLevel="0" collapsed="false">
      <c r="A1203" s="7" t="s">
        <v>156</v>
      </c>
      <c r="B1203" s="7" t="s">
        <v>1343</v>
      </c>
      <c r="C1203" s="7" t="s">
        <v>157</v>
      </c>
      <c r="D1203" s="8" t="n">
        <v>1</v>
      </c>
      <c r="E1203" s="8" t="n">
        <v>0</v>
      </c>
      <c r="F1203" s="8" t="n">
        <f aca="false">D1203+E1203</f>
        <v>1</v>
      </c>
      <c r="G1203" s="23" t="n">
        <f aca="false">IF(F1203=0,"n/a",D1203/F1203)</f>
        <v>1</v>
      </c>
    </row>
    <row r="1204" customFormat="false" ht="15" hidden="false" customHeight="true" outlineLevel="0" collapsed="false">
      <c r="A1204" s="7" t="s">
        <v>156</v>
      </c>
      <c r="B1204" s="7" t="s">
        <v>783</v>
      </c>
      <c r="C1204" s="7" t="s">
        <v>157</v>
      </c>
      <c r="D1204" s="8" t="n">
        <v>0</v>
      </c>
      <c r="E1204" s="8" t="n">
        <v>1</v>
      </c>
      <c r="F1204" s="8" t="n">
        <f aca="false">D1204+E1204</f>
        <v>1</v>
      </c>
      <c r="G1204" s="23" t="n">
        <f aca="false">IF(F1204=0,"n/a",D1204/F1204)</f>
        <v>0</v>
      </c>
    </row>
    <row r="1205" customFormat="false" ht="15" hidden="false" customHeight="true" outlineLevel="0" collapsed="false">
      <c r="A1205" s="7" t="s">
        <v>156</v>
      </c>
      <c r="B1205" s="7" t="s">
        <v>1344</v>
      </c>
      <c r="C1205" s="7" t="s">
        <v>157</v>
      </c>
      <c r="D1205" s="8" t="n">
        <v>0</v>
      </c>
      <c r="E1205" s="8" t="n">
        <v>1</v>
      </c>
      <c r="F1205" s="8" t="n">
        <f aca="false">D1205+E1205</f>
        <v>1</v>
      </c>
      <c r="G1205" s="23" t="n">
        <f aca="false">IF(F1205=0,"n/a",D1205/F1205)</f>
        <v>0</v>
      </c>
    </row>
    <row r="1206" customFormat="false" ht="15" hidden="false" customHeight="true" outlineLevel="0" collapsed="false">
      <c r="A1206" s="7" t="s">
        <v>156</v>
      </c>
      <c r="B1206" s="7" t="s">
        <v>1345</v>
      </c>
      <c r="C1206" s="7" t="s">
        <v>157</v>
      </c>
      <c r="D1206" s="8" t="n">
        <v>0</v>
      </c>
      <c r="E1206" s="8" t="n">
        <v>1</v>
      </c>
      <c r="F1206" s="8" t="n">
        <f aca="false">D1206+E1206</f>
        <v>1</v>
      </c>
      <c r="G1206" s="23" t="n">
        <f aca="false">IF(F1206=0,"n/a",D1206/F1206)</f>
        <v>0</v>
      </c>
    </row>
    <row r="1207" customFormat="false" ht="15" hidden="false" customHeight="true" outlineLevel="0" collapsed="false">
      <c r="A1207" s="7" t="s">
        <v>156</v>
      </c>
      <c r="B1207" s="7" t="s">
        <v>678</v>
      </c>
      <c r="C1207" s="7" t="s">
        <v>157</v>
      </c>
      <c r="D1207" s="8" t="n">
        <v>0</v>
      </c>
      <c r="E1207" s="8" t="n">
        <v>1</v>
      </c>
      <c r="F1207" s="8" t="n">
        <f aca="false">D1207+E1207</f>
        <v>1</v>
      </c>
      <c r="G1207" s="23" t="n">
        <f aca="false">IF(F1207=0,"n/a",D1207/F1207)</f>
        <v>0</v>
      </c>
    </row>
    <row r="1208" customFormat="false" ht="15" hidden="false" customHeight="true" outlineLevel="0" collapsed="false">
      <c r="A1208" s="7" t="s">
        <v>158</v>
      </c>
      <c r="B1208" s="7" t="s">
        <v>993</v>
      </c>
      <c r="C1208" s="7" t="s">
        <v>107</v>
      </c>
      <c r="D1208" s="8" t="n">
        <v>3</v>
      </c>
      <c r="E1208" s="8" t="n">
        <v>0</v>
      </c>
      <c r="F1208" s="8" t="n">
        <f aca="false">D1208+E1208</f>
        <v>3</v>
      </c>
      <c r="G1208" s="23" t="n">
        <f aca="false">IF(F1208=0,"n/a",D1208/F1208)</f>
        <v>1</v>
      </c>
    </row>
    <row r="1209" customFormat="false" ht="15" hidden="false" customHeight="true" outlineLevel="0" collapsed="false">
      <c r="A1209" s="7" t="s">
        <v>158</v>
      </c>
      <c r="B1209" s="7" t="s">
        <v>1346</v>
      </c>
      <c r="C1209" s="7" t="s">
        <v>107</v>
      </c>
      <c r="D1209" s="8" t="n">
        <v>1</v>
      </c>
      <c r="E1209" s="8" t="n">
        <v>0</v>
      </c>
      <c r="F1209" s="8" t="n">
        <f aca="false">D1209+E1209</f>
        <v>1</v>
      </c>
      <c r="G1209" s="23" t="n">
        <f aca="false">IF(F1209=0,"n/a",D1209/F1209)</f>
        <v>1</v>
      </c>
    </row>
    <row r="1210" customFormat="false" ht="15" hidden="false" customHeight="true" outlineLevel="0" collapsed="false">
      <c r="A1210" s="7" t="s">
        <v>158</v>
      </c>
      <c r="B1210" s="7" t="s">
        <v>1347</v>
      </c>
      <c r="C1210" s="7" t="s">
        <v>107</v>
      </c>
      <c r="D1210" s="8" t="n">
        <v>1</v>
      </c>
      <c r="E1210" s="8" t="n">
        <v>0</v>
      </c>
      <c r="F1210" s="8" t="n">
        <f aca="false">D1210+E1210</f>
        <v>1</v>
      </c>
      <c r="G1210" s="23" t="n">
        <f aca="false">IF(F1210=0,"n/a",D1210/F1210)</f>
        <v>1</v>
      </c>
    </row>
    <row r="1211" customFormat="false" ht="15" hidden="false" customHeight="true" outlineLevel="0" collapsed="false">
      <c r="A1211" s="7" t="s">
        <v>158</v>
      </c>
      <c r="B1211" s="7" t="s">
        <v>1348</v>
      </c>
      <c r="C1211" s="7" t="s">
        <v>107</v>
      </c>
      <c r="D1211" s="8" t="n">
        <v>0</v>
      </c>
      <c r="E1211" s="8" t="n">
        <v>1</v>
      </c>
      <c r="F1211" s="8" t="n">
        <f aca="false">D1211+E1211</f>
        <v>1</v>
      </c>
      <c r="G1211" s="23" t="n">
        <f aca="false">IF(F1211=0,"n/a",D1211/F1211)</f>
        <v>0</v>
      </c>
    </row>
    <row r="1212" customFormat="false" ht="15" hidden="false" customHeight="true" outlineLevel="0" collapsed="false">
      <c r="A1212" s="7" t="s">
        <v>159</v>
      </c>
      <c r="B1212" s="7" t="s">
        <v>1349</v>
      </c>
      <c r="C1212" s="7" t="s">
        <v>95</v>
      </c>
      <c r="D1212" s="8" t="n">
        <v>7</v>
      </c>
      <c r="E1212" s="8" t="n">
        <v>2</v>
      </c>
      <c r="F1212" s="8" t="n">
        <f aca="false">D1212+E1212</f>
        <v>9</v>
      </c>
      <c r="G1212" s="23" t="n">
        <f aca="false">IF(F1212=0,"n/a",D1212/F1212)</f>
        <v>0.777777777777778</v>
      </c>
    </row>
    <row r="1213" customFormat="false" ht="15" hidden="false" customHeight="true" outlineLevel="0" collapsed="false">
      <c r="A1213" s="7" t="s">
        <v>159</v>
      </c>
      <c r="B1213" s="7" t="s">
        <v>1350</v>
      </c>
      <c r="C1213" s="7" t="s">
        <v>95</v>
      </c>
      <c r="D1213" s="8" t="n">
        <v>4</v>
      </c>
      <c r="E1213" s="8" t="n">
        <v>4</v>
      </c>
      <c r="F1213" s="8" t="n">
        <f aca="false">D1213+E1213</f>
        <v>8</v>
      </c>
      <c r="G1213" s="23" t="n">
        <f aca="false">IF(F1213=0,"n/a",D1213/F1213)</f>
        <v>0.5</v>
      </c>
    </row>
    <row r="1214" customFormat="false" ht="15" hidden="false" customHeight="true" outlineLevel="0" collapsed="false">
      <c r="A1214" s="7" t="s">
        <v>159</v>
      </c>
      <c r="B1214" s="7" t="s">
        <v>1351</v>
      </c>
      <c r="C1214" s="7" t="s">
        <v>95</v>
      </c>
      <c r="D1214" s="8" t="n">
        <v>2</v>
      </c>
      <c r="E1214" s="8" t="n">
        <v>4</v>
      </c>
      <c r="F1214" s="8" t="n">
        <f aca="false">D1214+E1214</f>
        <v>6</v>
      </c>
      <c r="G1214" s="23" t="n">
        <f aca="false">IF(F1214=0,"n/a",D1214/F1214)</f>
        <v>0.333333333333333</v>
      </c>
    </row>
    <row r="1215" customFormat="false" ht="15" hidden="false" customHeight="true" outlineLevel="0" collapsed="false">
      <c r="A1215" s="7" t="s">
        <v>159</v>
      </c>
      <c r="B1215" s="7" t="s">
        <v>1169</v>
      </c>
      <c r="C1215" s="7" t="s">
        <v>95</v>
      </c>
      <c r="D1215" s="8" t="n">
        <v>0</v>
      </c>
      <c r="E1215" s="8" t="n">
        <v>5</v>
      </c>
      <c r="F1215" s="8" t="n">
        <f aca="false">D1215+E1215</f>
        <v>5</v>
      </c>
      <c r="G1215" s="23" t="n">
        <f aca="false">IF(F1215=0,"n/a",D1215/F1215)</f>
        <v>0</v>
      </c>
    </row>
    <row r="1216" customFormat="false" ht="15" hidden="false" customHeight="true" outlineLevel="0" collapsed="false">
      <c r="A1216" s="7" t="s">
        <v>159</v>
      </c>
      <c r="B1216" s="7" t="s">
        <v>1352</v>
      </c>
      <c r="C1216" s="7" t="s">
        <v>95</v>
      </c>
      <c r="D1216" s="8" t="n">
        <v>1</v>
      </c>
      <c r="E1216" s="8" t="n">
        <v>3</v>
      </c>
      <c r="F1216" s="8" t="n">
        <f aca="false">D1216+E1216</f>
        <v>4</v>
      </c>
      <c r="G1216" s="23" t="n">
        <f aca="false">IF(F1216=0,"n/a",D1216/F1216)</f>
        <v>0.25</v>
      </c>
    </row>
    <row r="1217" customFormat="false" ht="15" hidden="false" customHeight="true" outlineLevel="0" collapsed="false">
      <c r="A1217" s="7" t="s">
        <v>159</v>
      </c>
      <c r="B1217" s="7" t="s">
        <v>1353</v>
      </c>
      <c r="C1217" s="7" t="s">
        <v>95</v>
      </c>
      <c r="D1217" s="8" t="n">
        <v>4</v>
      </c>
      <c r="E1217" s="8" t="n">
        <v>0</v>
      </c>
      <c r="F1217" s="8" t="n">
        <f aca="false">D1217+E1217</f>
        <v>4</v>
      </c>
      <c r="G1217" s="23" t="n">
        <f aca="false">IF(F1217=0,"n/a",D1217/F1217)</f>
        <v>1</v>
      </c>
    </row>
    <row r="1218" customFormat="false" ht="15" hidden="false" customHeight="true" outlineLevel="0" collapsed="false">
      <c r="A1218" s="7" t="s">
        <v>159</v>
      </c>
      <c r="B1218" s="7" t="s">
        <v>1354</v>
      </c>
      <c r="C1218" s="7" t="s">
        <v>95</v>
      </c>
      <c r="D1218" s="8" t="n">
        <v>2</v>
      </c>
      <c r="E1218" s="8" t="n">
        <v>1</v>
      </c>
      <c r="F1218" s="8" t="n">
        <f aca="false">D1218+E1218</f>
        <v>3</v>
      </c>
      <c r="G1218" s="23" t="n">
        <f aca="false">IF(F1218=0,"n/a",D1218/F1218)</f>
        <v>0.666666666666667</v>
      </c>
    </row>
    <row r="1219" customFormat="false" ht="15" hidden="false" customHeight="true" outlineLevel="0" collapsed="false">
      <c r="A1219" s="7" t="s">
        <v>159</v>
      </c>
      <c r="B1219" s="7" t="s">
        <v>1355</v>
      </c>
      <c r="C1219" s="7" t="s">
        <v>95</v>
      </c>
      <c r="D1219" s="8" t="n">
        <v>2</v>
      </c>
      <c r="E1219" s="8" t="n">
        <v>1</v>
      </c>
      <c r="F1219" s="8" t="n">
        <f aca="false">D1219+E1219</f>
        <v>3</v>
      </c>
      <c r="G1219" s="23" t="n">
        <f aca="false">IF(F1219=0,"n/a",D1219/F1219)</f>
        <v>0.666666666666667</v>
      </c>
    </row>
    <row r="1220" customFormat="false" ht="15" hidden="false" customHeight="true" outlineLevel="0" collapsed="false">
      <c r="A1220" s="7" t="s">
        <v>159</v>
      </c>
      <c r="B1220" s="7" t="s">
        <v>1356</v>
      </c>
      <c r="C1220" s="7" t="s">
        <v>95</v>
      </c>
      <c r="D1220" s="8" t="n">
        <v>0</v>
      </c>
      <c r="E1220" s="8" t="n">
        <v>3</v>
      </c>
      <c r="F1220" s="8" t="n">
        <f aca="false">D1220+E1220</f>
        <v>3</v>
      </c>
      <c r="G1220" s="23" t="n">
        <f aca="false">IF(F1220=0,"n/a",D1220/F1220)</f>
        <v>0</v>
      </c>
    </row>
    <row r="1221" customFormat="false" ht="15" hidden="false" customHeight="true" outlineLevel="0" collapsed="false">
      <c r="A1221" s="7" t="s">
        <v>159</v>
      </c>
      <c r="B1221" s="7" t="s">
        <v>1357</v>
      </c>
      <c r="C1221" s="7" t="s">
        <v>95</v>
      </c>
      <c r="D1221" s="8" t="n">
        <v>2</v>
      </c>
      <c r="E1221" s="8" t="n">
        <v>0</v>
      </c>
      <c r="F1221" s="8" t="n">
        <f aca="false">D1221+E1221</f>
        <v>2</v>
      </c>
      <c r="G1221" s="23" t="n">
        <f aca="false">IF(F1221=0,"n/a",D1221/F1221)</f>
        <v>1</v>
      </c>
    </row>
    <row r="1222" customFormat="false" ht="15" hidden="false" customHeight="true" outlineLevel="0" collapsed="false">
      <c r="A1222" s="7" t="s">
        <v>159</v>
      </c>
      <c r="B1222" s="7" t="s">
        <v>1358</v>
      </c>
      <c r="C1222" s="7" t="s">
        <v>95</v>
      </c>
      <c r="D1222" s="8" t="n">
        <v>0</v>
      </c>
      <c r="E1222" s="8" t="n">
        <v>2</v>
      </c>
      <c r="F1222" s="8" t="n">
        <f aca="false">D1222+E1222</f>
        <v>2</v>
      </c>
      <c r="G1222" s="23" t="n">
        <f aca="false">IF(F1222=0,"n/a",D1222/F1222)</f>
        <v>0</v>
      </c>
    </row>
    <row r="1223" customFormat="false" ht="15" hidden="false" customHeight="true" outlineLevel="0" collapsed="false">
      <c r="A1223" s="7" t="s">
        <v>159</v>
      </c>
      <c r="B1223" s="7" t="s">
        <v>1359</v>
      </c>
      <c r="C1223" s="7" t="s">
        <v>95</v>
      </c>
      <c r="D1223" s="8" t="n">
        <v>2</v>
      </c>
      <c r="E1223" s="8" t="n">
        <v>0</v>
      </c>
      <c r="F1223" s="8" t="n">
        <f aca="false">D1223+E1223</f>
        <v>2</v>
      </c>
      <c r="G1223" s="23" t="n">
        <f aca="false">IF(F1223=0,"n/a",D1223/F1223)</f>
        <v>1</v>
      </c>
    </row>
    <row r="1224" customFormat="false" ht="15" hidden="false" customHeight="true" outlineLevel="0" collapsed="false">
      <c r="A1224" s="7" t="s">
        <v>159</v>
      </c>
      <c r="B1224" s="7" t="s">
        <v>1360</v>
      </c>
      <c r="C1224" s="7" t="s">
        <v>95</v>
      </c>
      <c r="D1224" s="8" t="n">
        <v>2</v>
      </c>
      <c r="E1224" s="8" t="n">
        <v>0</v>
      </c>
      <c r="F1224" s="8" t="n">
        <f aca="false">D1224+E1224</f>
        <v>2</v>
      </c>
      <c r="G1224" s="23" t="n">
        <f aca="false">IF(F1224=0,"n/a",D1224/F1224)</f>
        <v>1</v>
      </c>
    </row>
    <row r="1225" customFormat="false" ht="15" hidden="false" customHeight="true" outlineLevel="0" collapsed="false">
      <c r="A1225" s="7" t="s">
        <v>159</v>
      </c>
      <c r="B1225" s="7" t="s">
        <v>1361</v>
      </c>
      <c r="C1225" s="7" t="s">
        <v>95</v>
      </c>
      <c r="D1225" s="8" t="n">
        <v>0</v>
      </c>
      <c r="E1225" s="8" t="n">
        <v>2</v>
      </c>
      <c r="F1225" s="8" t="n">
        <f aca="false">D1225+E1225</f>
        <v>2</v>
      </c>
      <c r="G1225" s="23" t="n">
        <f aca="false">IF(F1225=0,"n/a",D1225/F1225)</f>
        <v>0</v>
      </c>
    </row>
    <row r="1226" customFormat="false" ht="15" hidden="false" customHeight="true" outlineLevel="0" collapsed="false">
      <c r="A1226" s="7" t="s">
        <v>159</v>
      </c>
      <c r="B1226" s="7" t="s">
        <v>1362</v>
      </c>
      <c r="C1226" s="7" t="s">
        <v>95</v>
      </c>
      <c r="D1226" s="8" t="n">
        <v>2</v>
      </c>
      <c r="E1226" s="8" t="n">
        <v>0</v>
      </c>
      <c r="F1226" s="8" t="n">
        <f aca="false">D1226+E1226</f>
        <v>2</v>
      </c>
      <c r="G1226" s="23" t="n">
        <f aca="false">IF(F1226=0,"n/a",D1226/F1226)</f>
        <v>1</v>
      </c>
    </row>
    <row r="1227" customFormat="false" ht="15" hidden="false" customHeight="true" outlineLevel="0" collapsed="false">
      <c r="A1227" s="7" t="s">
        <v>159</v>
      </c>
      <c r="B1227" s="7" t="s">
        <v>1363</v>
      </c>
      <c r="C1227" s="7" t="s">
        <v>95</v>
      </c>
      <c r="D1227" s="8" t="n">
        <v>1</v>
      </c>
      <c r="E1227" s="8" t="n">
        <v>1</v>
      </c>
      <c r="F1227" s="8" t="n">
        <f aca="false">D1227+E1227</f>
        <v>2</v>
      </c>
      <c r="G1227" s="23" t="n">
        <f aca="false">IF(F1227=0,"n/a",D1227/F1227)</f>
        <v>0.5</v>
      </c>
    </row>
    <row r="1228" customFormat="false" ht="15" hidden="false" customHeight="true" outlineLevel="0" collapsed="false">
      <c r="A1228" s="7" t="s">
        <v>159</v>
      </c>
      <c r="B1228" s="7" t="s">
        <v>1364</v>
      </c>
      <c r="C1228" s="7" t="s">
        <v>95</v>
      </c>
      <c r="D1228" s="8" t="n">
        <v>1</v>
      </c>
      <c r="E1228" s="8" t="n">
        <v>0</v>
      </c>
      <c r="F1228" s="8" t="n">
        <f aca="false">D1228+E1228</f>
        <v>1</v>
      </c>
      <c r="G1228" s="23" t="n">
        <f aca="false">IF(F1228=0,"n/a",D1228/F1228)</f>
        <v>1</v>
      </c>
    </row>
    <row r="1229" customFormat="false" ht="15" hidden="false" customHeight="true" outlineLevel="0" collapsed="false">
      <c r="A1229" s="7" t="s">
        <v>159</v>
      </c>
      <c r="B1229" s="7" t="s">
        <v>1102</v>
      </c>
      <c r="C1229" s="7" t="s">
        <v>95</v>
      </c>
      <c r="D1229" s="8" t="n">
        <v>0</v>
      </c>
      <c r="E1229" s="8" t="n">
        <v>1</v>
      </c>
      <c r="F1229" s="8" t="n">
        <f aca="false">D1229+E1229</f>
        <v>1</v>
      </c>
      <c r="G1229" s="23" t="n">
        <f aca="false">IF(F1229=0,"n/a",D1229/F1229)</f>
        <v>0</v>
      </c>
    </row>
    <row r="1230" customFormat="false" ht="15" hidden="false" customHeight="true" outlineLevel="0" collapsed="false">
      <c r="A1230" s="7" t="s">
        <v>159</v>
      </c>
      <c r="B1230" s="7" t="s">
        <v>1365</v>
      </c>
      <c r="C1230" s="7" t="s">
        <v>95</v>
      </c>
      <c r="D1230" s="8" t="n">
        <v>1</v>
      </c>
      <c r="E1230" s="8" t="n">
        <v>0</v>
      </c>
      <c r="F1230" s="8" t="n">
        <f aca="false">D1230+E1230</f>
        <v>1</v>
      </c>
      <c r="G1230" s="23" t="n">
        <f aca="false">IF(F1230=0,"n/a",D1230/F1230)</f>
        <v>1</v>
      </c>
    </row>
    <row r="1231" customFormat="false" ht="15" hidden="false" customHeight="true" outlineLevel="0" collapsed="false">
      <c r="A1231" s="7" t="s">
        <v>159</v>
      </c>
      <c r="B1231" s="7" t="s">
        <v>1366</v>
      </c>
      <c r="C1231" s="7" t="s">
        <v>95</v>
      </c>
      <c r="D1231" s="8" t="n">
        <v>1</v>
      </c>
      <c r="E1231" s="8" t="n">
        <v>0</v>
      </c>
      <c r="F1231" s="8" t="n">
        <f aca="false">D1231+E1231</f>
        <v>1</v>
      </c>
      <c r="G1231" s="23" t="n">
        <f aca="false">IF(F1231=0,"n/a",D1231/F1231)</f>
        <v>1</v>
      </c>
    </row>
    <row r="1232" customFormat="false" ht="15" hidden="false" customHeight="true" outlineLevel="0" collapsed="false">
      <c r="A1232" s="7" t="s">
        <v>159</v>
      </c>
      <c r="B1232" s="7" t="s">
        <v>1367</v>
      </c>
      <c r="C1232" s="7" t="s">
        <v>95</v>
      </c>
      <c r="D1232" s="8" t="n">
        <v>0</v>
      </c>
      <c r="E1232" s="8" t="n">
        <v>1</v>
      </c>
      <c r="F1232" s="8" t="n">
        <f aca="false">D1232+E1232</f>
        <v>1</v>
      </c>
      <c r="G1232" s="23" t="n">
        <f aca="false">IF(F1232=0,"n/a",D1232/F1232)</f>
        <v>0</v>
      </c>
    </row>
    <row r="1233" customFormat="false" ht="15" hidden="false" customHeight="true" outlineLevel="0" collapsed="false">
      <c r="A1233" s="7" t="s">
        <v>159</v>
      </c>
      <c r="B1233" s="7" t="s">
        <v>1259</v>
      </c>
      <c r="C1233" s="7" t="s">
        <v>95</v>
      </c>
      <c r="D1233" s="8" t="n">
        <v>1</v>
      </c>
      <c r="E1233" s="8" t="n">
        <v>0</v>
      </c>
      <c r="F1233" s="8" t="n">
        <f aca="false">D1233+E1233</f>
        <v>1</v>
      </c>
      <c r="G1233" s="23" t="n">
        <f aca="false">IF(F1233=0,"n/a",D1233/F1233)</f>
        <v>1</v>
      </c>
    </row>
    <row r="1234" customFormat="false" ht="15" hidden="false" customHeight="true" outlineLevel="0" collapsed="false">
      <c r="A1234" s="7" t="s">
        <v>159</v>
      </c>
      <c r="B1234" s="7" t="s">
        <v>666</v>
      </c>
      <c r="C1234" s="7" t="s">
        <v>95</v>
      </c>
      <c r="D1234" s="8" t="n">
        <v>1</v>
      </c>
      <c r="E1234" s="8" t="n">
        <v>0</v>
      </c>
      <c r="F1234" s="8" t="n">
        <f aca="false">D1234+E1234</f>
        <v>1</v>
      </c>
      <c r="G1234" s="23" t="n">
        <f aca="false">IF(F1234=0,"n/a",D1234/F1234)</f>
        <v>1</v>
      </c>
    </row>
    <row r="1235" customFormat="false" ht="15" hidden="false" customHeight="true" outlineLevel="0" collapsed="false">
      <c r="A1235" s="7" t="s">
        <v>159</v>
      </c>
      <c r="B1235" s="7" t="s">
        <v>1368</v>
      </c>
      <c r="C1235" s="7" t="s">
        <v>95</v>
      </c>
      <c r="D1235" s="8" t="n">
        <v>1</v>
      </c>
      <c r="E1235" s="8" t="n">
        <v>0</v>
      </c>
      <c r="F1235" s="8" t="n">
        <f aca="false">D1235+E1235</f>
        <v>1</v>
      </c>
      <c r="G1235" s="23" t="n">
        <f aca="false">IF(F1235=0,"n/a",D1235/F1235)</f>
        <v>1</v>
      </c>
    </row>
    <row r="1236" customFormat="false" ht="15" hidden="false" customHeight="true" outlineLevel="0" collapsed="false">
      <c r="A1236" s="7" t="s">
        <v>159</v>
      </c>
      <c r="B1236" s="7" t="s">
        <v>1369</v>
      </c>
      <c r="C1236" s="7" t="s">
        <v>95</v>
      </c>
      <c r="D1236" s="8" t="n">
        <v>1</v>
      </c>
      <c r="E1236" s="8" t="n">
        <v>0</v>
      </c>
      <c r="F1236" s="8" t="n">
        <f aca="false">D1236+E1236</f>
        <v>1</v>
      </c>
      <c r="G1236" s="23" t="n">
        <f aca="false">IF(F1236=0,"n/a",D1236/F1236)</f>
        <v>1</v>
      </c>
    </row>
    <row r="1237" customFormat="false" ht="15" hidden="false" customHeight="true" outlineLevel="0" collapsed="false">
      <c r="A1237" s="7" t="s">
        <v>159</v>
      </c>
      <c r="B1237" s="7" t="s">
        <v>1370</v>
      </c>
      <c r="C1237" s="7" t="s">
        <v>95</v>
      </c>
      <c r="D1237" s="8" t="n">
        <v>0</v>
      </c>
      <c r="E1237" s="8" t="n">
        <v>1</v>
      </c>
      <c r="F1237" s="8" t="n">
        <f aca="false">D1237+E1237</f>
        <v>1</v>
      </c>
      <c r="G1237" s="23" t="n">
        <f aca="false">IF(F1237=0,"n/a",D1237/F1237)</f>
        <v>0</v>
      </c>
    </row>
    <row r="1238" customFormat="false" ht="15" hidden="false" customHeight="true" outlineLevel="0" collapsed="false">
      <c r="A1238" s="7" t="s">
        <v>159</v>
      </c>
      <c r="B1238" s="7" t="s">
        <v>1371</v>
      </c>
      <c r="C1238" s="7" t="s">
        <v>95</v>
      </c>
      <c r="D1238" s="8" t="n">
        <v>0</v>
      </c>
      <c r="E1238" s="8" t="n">
        <v>1</v>
      </c>
      <c r="F1238" s="8" t="n">
        <f aca="false">D1238+E1238</f>
        <v>1</v>
      </c>
      <c r="G1238" s="23" t="n">
        <f aca="false">IF(F1238=0,"n/a",D1238/F1238)</f>
        <v>0</v>
      </c>
    </row>
    <row r="1239" customFormat="false" ht="15" hidden="false" customHeight="true" outlineLevel="0" collapsed="false">
      <c r="A1239" s="7" t="s">
        <v>160</v>
      </c>
      <c r="B1239" s="7" t="s">
        <v>303</v>
      </c>
      <c r="C1239" s="7" t="s">
        <v>133</v>
      </c>
      <c r="D1239" s="8" t="n">
        <v>7</v>
      </c>
      <c r="E1239" s="8" t="n">
        <v>5</v>
      </c>
      <c r="F1239" s="8" t="n">
        <f aca="false">D1239+E1239</f>
        <v>12</v>
      </c>
      <c r="G1239" s="23" t="n">
        <f aca="false">IF(F1239=0,"n/a",D1239/F1239)</f>
        <v>0.583333333333333</v>
      </c>
    </row>
    <row r="1240" customFormat="false" ht="15" hidden="false" customHeight="true" outlineLevel="0" collapsed="false">
      <c r="A1240" s="7" t="s">
        <v>160</v>
      </c>
      <c r="B1240" s="7" t="s">
        <v>1372</v>
      </c>
      <c r="C1240" s="7" t="s">
        <v>133</v>
      </c>
      <c r="D1240" s="8" t="n">
        <v>0</v>
      </c>
      <c r="E1240" s="8" t="n">
        <v>11</v>
      </c>
      <c r="F1240" s="8" t="n">
        <f aca="false">D1240+E1240</f>
        <v>11</v>
      </c>
      <c r="G1240" s="23" t="n">
        <f aca="false">IF(F1240=0,"n/a",D1240/F1240)</f>
        <v>0</v>
      </c>
    </row>
    <row r="1241" customFormat="false" ht="15" hidden="false" customHeight="true" outlineLevel="0" collapsed="false">
      <c r="A1241" s="7" t="s">
        <v>160</v>
      </c>
      <c r="B1241" s="7" t="s">
        <v>1373</v>
      </c>
      <c r="C1241" s="7" t="s">
        <v>133</v>
      </c>
      <c r="D1241" s="8" t="n">
        <v>7</v>
      </c>
      <c r="E1241" s="8" t="n">
        <v>3</v>
      </c>
      <c r="F1241" s="8" t="n">
        <f aca="false">D1241+E1241</f>
        <v>10</v>
      </c>
      <c r="G1241" s="23" t="n">
        <f aca="false">IF(F1241=0,"n/a",D1241/F1241)</f>
        <v>0.7</v>
      </c>
    </row>
    <row r="1242" customFormat="false" ht="15" hidden="false" customHeight="true" outlineLevel="0" collapsed="false">
      <c r="A1242" s="7" t="s">
        <v>160</v>
      </c>
      <c r="B1242" s="7" t="s">
        <v>1374</v>
      </c>
      <c r="C1242" s="7" t="s">
        <v>133</v>
      </c>
      <c r="D1242" s="8" t="n">
        <v>1</v>
      </c>
      <c r="E1242" s="8" t="n">
        <v>8</v>
      </c>
      <c r="F1242" s="8" t="n">
        <f aca="false">D1242+E1242</f>
        <v>9</v>
      </c>
      <c r="G1242" s="23" t="n">
        <f aca="false">IF(F1242=0,"n/a",D1242/F1242)</f>
        <v>0.111111111111111</v>
      </c>
    </row>
    <row r="1243" customFormat="false" ht="15" hidden="false" customHeight="true" outlineLevel="0" collapsed="false">
      <c r="A1243" s="7" t="s">
        <v>160</v>
      </c>
      <c r="B1243" s="7" t="s">
        <v>1375</v>
      </c>
      <c r="C1243" s="7" t="s">
        <v>133</v>
      </c>
      <c r="D1243" s="8" t="n">
        <v>0</v>
      </c>
      <c r="E1243" s="8" t="n">
        <v>7</v>
      </c>
      <c r="F1243" s="8" t="n">
        <f aca="false">D1243+E1243</f>
        <v>7</v>
      </c>
      <c r="G1243" s="23" t="n">
        <f aca="false">IF(F1243=0,"n/a",D1243/F1243)</f>
        <v>0</v>
      </c>
    </row>
    <row r="1244" customFormat="false" ht="15" hidden="false" customHeight="true" outlineLevel="0" collapsed="false">
      <c r="A1244" s="7" t="s">
        <v>160</v>
      </c>
      <c r="B1244" s="7" t="s">
        <v>1376</v>
      </c>
      <c r="C1244" s="7" t="s">
        <v>133</v>
      </c>
      <c r="D1244" s="8" t="n">
        <v>3</v>
      </c>
      <c r="E1244" s="8" t="n">
        <v>2</v>
      </c>
      <c r="F1244" s="8" t="n">
        <f aca="false">D1244+E1244</f>
        <v>5</v>
      </c>
      <c r="G1244" s="23" t="n">
        <f aca="false">IF(F1244=0,"n/a",D1244/F1244)</f>
        <v>0.6</v>
      </c>
    </row>
    <row r="1245" customFormat="false" ht="15" hidden="false" customHeight="true" outlineLevel="0" collapsed="false">
      <c r="A1245" s="7" t="s">
        <v>160</v>
      </c>
      <c r="B1245" s="7" t="s">
        <v>1377</v>
      </c>
      <c r="C1245" s="7" t="s">
        <v>133</v>
      </c>
      <c r="D1245" s="8" t="n">
        <v>0</v>
      </c>
      <c r="E1245" s="8" t="n">
        <v>5</v>
      </c>
      <c r="F1245" s="8" t="n">
        <f aca="false">D1245+E1245</f>
        <v>5</v>
      </c>
      <c r="G1245" s="23" t="n">
        <f aca="false">IF(F1245=0,"n/a",D1245/F1245)</f>
        <v>0</v>
      </c>
    </row>
    <row r="1246" customFormat="false" ht="15" hidden="false" customHeight="true" outlineLevel="0" collapsed="false">
      <c r="A1246" s="7" t="s">
        <v>160</v>
      </c>
      <c r="B1246" s="7" t="s">
        <v>1378</v>
      </c>
      <c r="C1246" s="7" t="s">
        <v>133</v>
      </c>
      <c r="D1246" s="8" t="n">
        <v>3</v>
      </c>
      <c r="E1246" s="8" t="n">
        <v>2</v>
      </c>
      <c r="F1246" s="8" t="n">
        <f aca="false">D1246+E1246</f>
        <v>5</v>
      </c>
      <c r="G1246" s="23" t="n">
        <f aca="false">IF(F1246=0,"n/a",D1246/F1246)</f>
        <v>0.6</v>
      </c>
    </row>
    <row r="1247" customFormat="false" ht="15" hidden="false" customHeight="true" outlineLevel="0" collapsed="false">
      <c r="A1247" s="7" t="s">
        <v>160</v>
      </c>
      <c r="B1247" s="7" t="s">
        <v>1379</v>
      </c>
      <c r="C1247" s="7" t="s">
        <v>133</v>
      </c>
      <c r="D1247" s="8" t="n">
        <v>4</v>
      </c>
      <c r="E1247" s="8" t="n">
        <v>0</v>
      </c>
      <c r="F1247" s="8" t="n">
        <f aca="false">D1247+E1247</f>
        <v>4</v>
      </c>
      <c r="G1247" s="23" t="n">
        <f aca="false">IF(F1247=0,"n/a",D1247/F1247)</f>
        <v>1</v>
      </c>
    </row>
    <row r="1248" customFormat="false" ht="15" hidden="false" customHeight="true" outlineLevel="0" collapsed="false">
      <c r="A1248" s="7" t="s">
        <v>160</v>
      </c>
      <c r="B1248" s="7" t="s">
        <v>1380</v>
      </c>
      <c r="C1248" s="7" t="s">
        <v>133</v>
      </c>
      <c r="D1248" s="8" t="n">
        <v>0</v>
      </c>
      <c r="E1248" s="8" t="n">
        <v>4</v>
      </c>
      <c r="F1248" s="8" t="n">
        <f aca="false">D1248+E1248</f>
        <v>4</v>
      </c>
      <c r="G1248" s="23" t="n">
        <f aca="false">IF(F1248=0,"n/a",D1248/F1248)</f>
        <v>0</v>
      </c>
    </row>
    <row r="1249" customFormat="false" ht="15" hidden="false" customHeight="true" outlineLevel="0" collapsed="false">
      <c r="A1249" s="7" t="s">
        <v>160</v>
      </c>
      <c r="B1249" s="7" t="s">
        <v>1381</v>
      </c>
      <c r="C1249" s="7" t="s">
        <v>133</v>
      </c>
      <c r="D1249" s="8" t="n">
        <v>4</v>
      </c>
      <c r="E1249" s="8" t="n">
        <v>0</v>
      </c>
      <c r="F1249" s="8" t="n">
        <f aca="false">D1249+E1249</f>
        <v>4</v>
      </c>
      <c r="G1249" s="23" t="n">
        <f aca="false">IF(F1249=0,"n/a",D1249/F1249)</f>
        <v>1</v>
      </c>
    </row>
    <row r="1250" customFormat="false" ht="15" hidden="false" customHeight="true" outlineLevel="0" collapsed="false">
      <c r="A1250" s="7" t="s">
        <v>160</v>
      </c>
      <c r="B1250" s="7" t="s">
        <v>1382</v>
      </c>
      <c r="C1250" s="7" t="s">
        <v>133</v>
      </c>
      <c r="D1250" s="8" t="n">
        <v>1</v>
      </c>
      <c r="E1250" s="8" t="n">
        <v>2</v>
      </c>
      <c r="F1250" s="8" t="n">
        <f aca="false">D1250+E1250</f>
        <v>3</v>
      </c>
      <c r="G1250" s="23" t="n">
        <f aca="false">IF(F1250=0,"n/a",D1250/F1250)</f>
        <v>0.333333333333333</v>
      </c>
    </row>
    <row r="1251" customFormat="false" ht="15" hidden="false" customHeight="true" outlineLevel="0" collapsed="false">
      <c r="A1251" s="7" t="s">
        <v>160</v>
      </c>
      <c r="B1251" s="7" t="s">
        <v>1383</v>
      </c>
      <c r="C1251" s="7" t="s">
        <v>133</v>
      </c>
      <c r="D1251" s="8" t="n">
        <v>2</v>
      </c>
      <c r="E1251" s="8" t="n">
        <v>1</v>
      </c>
      <c r="F1251" s="8" t="n">
        <f aca="false">D1251+E1251</f>
        <v>3</v>
      </c>
      <c r="G1251" s="23" t="n">
        <f aca="false">IF(F1251=0,"n/a",D1251/F1251)</f>
        <v>0.666666666666667</v>
      </c>
    </row>
    <row r="1252" customFormat="false" ht="15" hidden="false" customHeight="true" outlineLevel="0" collapsed="false">
      <c r="A1252" s="7" t="s">
        <v>160</v>
      </c>
      <c r="B1252" s="7" t="s">
        <v>1384</v>
      </c>
      <c r="C1252" s="7" t="s">
        <v>133</v>
      </c>
      <c r="D1252" s="8" t="n">
        <v>0</v>
      </c>
      <c r="E1252" s="8" t="n">
        <v>2</v>
      </c>
      <c r="F1252" s="8" t="n">
        <f aca="false">D1252+E1252</f>
        <v>2</v>
      </c>
      <c r="G1252" s="23" t="n">
        <f aca="false">IF(F1252=0,"n/a",D1252/F1252)</f>
        <v>0</v>
      </c>
    </row>
    <row r="1253" customFormat="false" ht="15" hidden="false" customHeight="true" outlineLevel="0" collapsed="false">
      <c r="A1253" s="7" t="s">
        <v>160</v>
      </c>
      <c r="B1253" s="7" t="s">
        <v>1385</v>
      </c>
      <c r="C1253" s="7" t="s">
        <v>133</v>
      </c>
      <c r="D1253" s="8" t="n">
        <v>2</v>
      </c>
      <c r="E1253" s="8" t="n">
        <v>0</v>
      </c>
      <c r="F1253" s="8" t="n">
        <f aca="false">D1253+E1253</f>
        <v>2</v>
      </c>
      <c r="G1253" s="23" t="n">
        <f aca="false">IF(F1253=0,"n/a",D1253/F1253)</f>
        <v>1</v>
      </c>
    </row>
    <row r="1254" customFormat="false" ht="15" hidden="false" customHeight="true" outlineLevel="0" collapsed="false">
      <c r="A1254" s="7" t="s">
        <v>160</v>
      </c>
      <c r="B1254" s="7" t="s">
        <v>1386</v>
      </c>
      <c r="C1254" s="7" t="s">
        <v>133</v>
      </c>
      <c r="D1254" s="8" t="n">
        <v>2</v>
      </c>
      <c r="E1254" s="8" t="n">
        <v>0</v>
      </c>
      <c r="F1254" s="8" t="n">
        <f aca="false">D1254+E1254</f>
        <v>2</v>
      </c>
      <c r="G1254" s="23" t="n">
        <f aca="false">IF(F1254=0,"n/a",D1254/F1254)</f>
        <v>1</v>
      </c>
    </row>
    <row r="1255" customFormat="false" ht="15" hidden="false" customHeight="true" outlineLevel="0" collapsed="false">
      <c r="A1255" s="7" t="s">
        <v>160</v>
      </c>
      <c r="B1255" s="7" t="s">
        <v>1387</v>
      </c>
      <c r="C1255" s="7" t="s">
        <v>133</v>
      </c>
      <c r="D1255" s="8" t="n">
        <v>0</v>
      </c>
      <c r="E1255" s="8" t="n">
        <v>2</v>
      </c>
      <c r="F1255" s="8" t="n">
        <f aca="false">D1255+E1255</f>
        <v>2</v>
      </c>
      <c r="G1255" s="23" t="n">
        <f aca="false">IF(F1255=0,"n/a",D1255/F1255)</f>
        <v>0</v>
      </c>
    </row>
    <row r="1256" customFormat="false" ht="15" hidden="false" customHeight="true" outlineLevel="0" collapsed="false">
      <c r="A1256" s="7" t="s">
        <v>160</v>
      </c>
      <c r="B1256" s="7" t="s">
        <v>748</v>
      </c>
      <c r="C1256" s="7" t="s">
        <v>133</v>
      </c>
      <c r="D1256" s="8" t="n">
        <v>2</v>
      </c>
      <c r="E1256" s="8" t="n">
        <v>0</v>
      </c>
      <c r="F1256" s="8" t="n">
        <f aca="false">D1256+E1256</f>
        <v>2</v>
      </c>
      <c r="G1256" s="23" t="n">
        <f aca="false">IF(F1256=0,"n/a",D1256/F1256)</f>
        <v>1</v>
      </c>
    </row>
    <row r="1257" customFormat="false" ht="15" hidden="false" customHeight="true" outlineLevel="0" collapsed="false">
      <c r="A1257" s="7" t="s">
        <v>160</v>
      </c>
      <c r="B1257" s="7" t="s">
        <v>1388</v>
      </c>
      <c r="C1257" s="7" t="s">
        <v>133</v>
      </c>
      <c r="D1257" s="8" t="n">
        <v>0</v>
      </c>
      <c r="E1257" s="8" t="n">
        <v>2</v>
      </c>
      <c r="F1257" s="8" t="n">
        <f aca="false">D1257+E1257</f>
        <v>2</v>
      </c>
      <c r="G1257" s="23" t="n">
        <f aca="false">IF(F1257=0,"n/a",D1257/F1257)</f>
        <v>0</v>
      </c>
    </row>
    <row r="1258" customFormat="false" ht="15" hidden="false" customHeight="true" outlineLevel="0" collapsed="false">
      <c r="A1258" s="7" t="s">
        <v>160</v>
      </c>
      <c r="B1258" s="7" t="s">
        <v>1389</v>
      </c>
      <c r="C1258" s="7" t="s">
        <v>133</v>
      </c>
      <c r="D1258" s="8" t="n">
        <v>2</v>
      </c>
      <c r="E1258" s="8" t="n">
        <v>0</v>
      </c>
      <c r="F1258" s="8" t="n">
        <f aca="false">D1258+E1258</f>
        <v>2</v>
      </c>
      <c r="G1258" s="23" t="n">
        <f aca="false">IF(F1258=0,"n/a",D1258/F1258)</f>
        <v>1</v>
      </c>
    </row>
    <row r="1259" customFormat="false" ht="15" hidden="false" customHeight="true" outlineLevel="0" collapsed="false">
      <c r="A1259" s="7" t="s">
        <v>160</v>
      </c>
      <c r="B1259" s="7" t="s">
        <v>1390</v>
      </c>
      <c r="C1259" s="7" t="s">
        <v>133</v>
      </c>
      <c r="D1259" s="8" t="n">
        <v>0</v>
      </c>
      <c r="E1259" s="8" t="n">
        <v>2</v>
      </c>
      <c r="F1259" s="8" t="n">
        <f aca="false">D1259+E1259</f>
        <v>2</v>
      </c>
      <c r="G1259" s="23" t="n">
        <f aca="false">IF(F1259=0,"n/a",D1259/F1259)</f>
        <v>0</v>
      </c>
    </row>
    <row r="1260" customFormat="false" ht="15" hidden="false" customHeight="true" outlineLevel="0" collapsed="false">
      <c r="A1260" s="7" t="s">
        <v>160</v>
      </c>
      <c r="B1260" s="7" t="s">
        <v>1391</v>
      </c>
      <c r="C1260" s="7" t="s">
        <v>133</v>
      </c>
      <c r="D1260" s="8" t="n">
        <v>0</v>
      </c>
      <c r="E1260" s="8" t="n">
        <v>2</v>
      </c>
      <c r="F1260" s="8" t="n">
        <f aca="false">D1260+E1260</f>
        <v>2</v>
      </c>
      <c r="G1260" s="23" t="n">
        <f aca="false">IF(F1260=0,"n/a",D1260/F1260)</f>
        <v>0</v>
      </c>
    </row>
    <row r="1261" customFormat="false" ht="15" hidden="false" customHeight="true" outlineLevel="0" collapsed="false">
      <c r="A1261" s="7" t="s">
        <v>160</v>
      </c>
      <c r="B1261" s="7" t="s">
        <v>1392</v>
      </c>
      <c r="C1261" s="7" t="s">
        <v>133</v>
      </c>
      <c r="D1261" s="8" t="n">
        <v>0</v>
      </c>
      <c r="E1261" s="8" t="n">
        <v>1</v>
      </c>
      <c r="F1261" s="8" t="n">
        <f aca="false">D1261+E1261</f>
        <v>1</v>
      </c>
      <c r="G1261" s="23" t="n">
        <f aca="false">IF(F1261=0,"n/a",D1261/F1261)</f>
        <v>0</v>
      </c>
    </row>
    <row r="1262" customFormat="false" ht="15" hidden="false" customHeight="true" outlineLevel="0" collapsed="false">
      <c r="A1262" s="7" t="s">
        <v>160</v>
      </c>
      <c r="B1262" s="7" t="s">
        <v>1393</v>
      </c>
      <c r="C1262" s="7" t="s">
        <v>133</v>
      </c>
      <c r="D1262" s="8" t="n">
        <v>0</v>
      </c>
      <c r="E1262" s="8" t="n">
        <v>1</v>
      </c>
      <c r="F1262" s="8" t="n">
        <f aca="false">D1262+E1262</f>
        <v>1</v>
      </c>
      <c r="G1262" s="23" t="n">
        <f aca="false">IF(F1262=0,"n/a",D1262/F1262)</f>
        <v>0</v>
      </c>
    </row>
    <row r="1263" customFormat="false" ht="15" hidden="false" customHeight="true" outlineLevel="0" collapsed="false">
      <c r="A1263" s="7" t="s">
        <v>160</v>
      </c>
      <c r="B1263" s="7" t="s">
        <v>1394</v>
      </c>
      <c r="C1263" s="7" t="s">
        <v>133</v>
      </c>
      <c r="D1263" s="8" t="n">
        <v>0</v>
      </c>
      <c r="E1263" s="8" t="n">
        <v>1</v>
      </c>
      <c r="F1263" s="8" t="n">
        <f aca="false">D1263+E1263</f>
        <v>1</v>
      </c>
      <c r="G1263" s="23" t="n">
        <f aca="false">IF(F1263=0,"n/a",D1263/F1263)</f>
        <v>0</v>
      </c>
    </row>
    <row r="1264" customFormat="false" ht="15" hidden="false" customHeight="true" outlineLevel="0" collapsed="false">
      <c r="A1264" s="7" t="s">
        <v>160</v>
      </c>
      <c r="B1264" s="7" t="s">
        <v>1395</v>
      </c>
      <c r="C1264" s="7" t="s">
        <v>133</v>
      </c>
      <c r="D1264" s="8" t="n">
        <v>0</v>
      </c>
      <c r="E1264" s="8" t="n">
        <v>1</v>
      </c>
      <c r="F1264" s="8" t="n">
        <f aca="false">D1264+E1264</f>
        <v>1</v>
      </c>
      <c r="G1264" s="23" t="n">
        <f aca="false">IF(F1264=0,"n/a",D1264/F1264)</f>
        <v>0</v>
      </c>
    </row>
    <row r="1265" customFormat="false" ht="15" hidden="false" customHeight="true" outlineLevel="0" collapsed="false">
      <c r="A1265" s="7" t="s">
        <v>160</v>
      </c>
      <c r="B1265" s="7" t="s">
        <v>1061</v>
      </c>
      <c r="C1265" s="7" t="s">
        <v>133</v>
      </c>
      <c r="D1265" s="8" t="n">
        <v>0</v>
      </c>
      <c r="E1265" s="8" t="n">
        <v>1</v>
      </c>
      <c r="F1265" s="8" t="n">
        <f aca="false">D1265+E1265</f>
        <v>1</v>
      </c>
      <c r="G1265" s="23" t="n">
        <f aca="false">IF(F1265=0,"n/a",D1265/F1265)</f>
        <v>0</v>
      </c>
    </row>
    <row r="1266" customFormat="false" ht="15" hidden="false" customHeight="true" outlineLevel="0" collapsed="false">
      <c r="A1266" s="7" t="s">
        <v>160</v>
      </c>
      <c r="B1266" s="7" t="s">
        <v>1396</v>
      </c>
      <c r="C1266" s="7" t="s">
        <v>133</v>
      </c>
      <c r="D1266" s="8" t="n">
        <v>0</v>
      </c>
      <c r="E1266" s="8" t="n">
        <v>1</v>
      </c>
      <c r="F1266" s="8" t="n">
        <f aca="false">D1266+E1266</f>
        <v>1</v>
      </c>
      <c r="G1266" s="23" t="n">
        <f aca="false">IF(F1266=0,"n/a",D1266/F1266)</f>
        <v>0</v>
      </c>
    </row>
    <row r="1267" customFormat="false" ht="15" hidden="false" customHeight="true" outlineLevel="0" collapsed="false">
      <c r="A1267" s="7" t="s">
        <v>160</v>
      </c>
      <c r="B1267" s="7" t="s">
        <v>1397</v>
      </c>
      <c r="C1267" s="7" t="s">
        <v>133</v>
      </c>
      <c r="D1267" s="8" t="n">
        <v>0</v>
      </c>
      <c r="E1267" s="8" t="n">
        <v>1</v>
      </c>
      <c r="F1267" s="8" t="n">
        <f aca="false">D1267+E1267</f>
        <v>1</v>
      </c>
      <c r="G1267" s="23" t="n">
        <f aca="false">IF(F1267=0,"n/a",D1267/F1267)</f>
        <v>0</v>
      </c>
    </row>
    <row r="1268" customFormat="false" ht="15" hidden="false" customHeight="true" outlineLevel="0" collapsed="false">
      <c r="A1268" s="7" t="s">
        <v>161</v>
      </c>
      <c r="B1268" s="7" t="s">
        <v>697</v>
      </c>
      <c r="C1268" s="7" t="s">
        <v>109</v>
      </c>
      <c r="D1268" s="8" t="n">
        <v>5</v>
      </c>
      <c r="E1268" s="8" t="n">
        <v>8</v>
      </c>
      <c r="F1268" s="8" t="n">
        <f aca="false">D1268+E1268</f>
        <v>13</v>
      </c>
      <c r="G1268" s="23" t="n">
        <f aca="false">IF(F1268=0,"n/a",D1268/F1268)</f>
        <v>0.384615384615385</v>
      </c>
    </row>
    <row r="1269" customFormat="false" ht="15" hidden="false" customHeight="true" outlineLevel="0" collapsed="false">
      <c r="A1269" s="7" t="s">
        <v>161</v>
      </c>
      <c r="B1269" s="7" t="s">
        <v>1187</v>
      </c>
      <c r="C1269" s="7" t="s">
        <v>109</v>
      </c>
      <c r="D1269" s="8" t="n">
        <v>2</v>
      </c>
      <c r="E1269" s="8" t="n">
        <v>5</v>
      </c>
      <c r="F1269" s="8" t="n">
        <f aca="false">D1269+E1269</f>
        <v>7</v>
      </c>
      <c r="G1269" s="23" t="n">
        <f aca="false">IF(F1269=0,"n/a",D1269/F1269)</f>
        <v>0.285714285714286</v>
      </c>
    </row>
    <row r="1270" customFormat="false" ht="15" hidden="false" customHeight="true" outlineLevel="0" collapsed="false">
      <c r="A1270" s="7" t="s">
        <v>161</v>
      </c>
      <c r="B1270" s="7" t="s">
        <v>1398</v>
      </c>
      <c r="C1270" s="7" t="s">
        <v>109</v>
      </c>
      <c r="D1270" s="8" t="n">
        <v>2</v>
      </c>
      <c r="E1270" s="8" t="n">
        <v>2</v>
      </c>
      <c r="F1270" s="8" t="n">
        <f aca="false">D1270+E1270</f>
        <v>4</v>
      </c>
      <c r="G1270" s="23" t="n">
        <f aca="false">IF(F1270=0,"n/a",D1270/F1270)</f>
        <v>0.5</v>
      </c>
    </row>
    <row r="1271" customFormat="false" ht="15" hidden="false" customHeight="true" outlineLevel="0" collapsed="false">
      <c r="A1271" s="7" t="s">
        <v>161</v>
      </c>
      <c r="B1271" s="7" t="s">
        <v>1399</v>
      </c>
      <c r="C1271" s="7" t="s">
        <v>109</v>
      </c>
      <c r="D1271" s="8" t="n">
        <v>0</v>
      </c>
      <c r="E1271" s="8" t="n">
        <v>2</v>
      </c>
      <c r="F1271" s="8" t="n">
        <f aca="false">D1271+E1271</f>
        <v>2</v>
      </c>
      <c r="G1271" s="23" t="n">
        <f aca="false">IF(F1271=0,"n/a",D1271/F1271)</f>
        <v>0</v>
      </c>
    </row>
    <row r="1272" customFormat="false" ht="15" hidden="false" customHeight="true" outlineLevel="0" collapsed="false">
      <c r="A1272" s="7" t="s">
        <v>161</v>
      </c>
      <c r="B1272" s="7" t="s">
        <v>1400</v>
      </c>
      <c r="C1272" s="7" t="s">
        <v>109</v>
      </c>
      <c r="D1272" s="8" t="n">
        <v>0</v>
      </c>
      <c r="E1272" s="8" t="n">
        <v>1</v>
      </c>
      <c r="F1272" s="8" t="n">
        <f aca="false">D1272+E1272</f>
        <v>1</v>
      </c>
      <c r="G1272" s="23" t="n">
        <f aca="false">IF(F1272=0,"n/a",D1272/F1272)</f>
        <v>0</v>
      </c>
    </row>
    <row r="1273" customFormat="false" ht="15" hidden="false" customHeight="true" outlineLevel="0" collapsed="false">
      <c r="A1273" s="7" t="s">
        <v>161</v>
      </c>
      <c r="B1273" s="7" t="s">
        <v>1401</v>
      </c>
      <c r="C1273" s="7" t="s">
        <v>109</v>
      </c>
      <c r="D1273" s="8" t="n">
        <v>0</v>
      </c>
      <c r="E1273" s="8" t="n">
        <v>1</v>
      </c>
      <c r="F1273" s="8" t="n">
        <f aca="false">D1273+E1273</f>
        <v>1</v>
      </c>
      <c r="G1273" s="23" t="n">
        <f aca="false">IF(F1273=0,"n/a",D1273/F1273)</f>
        <v>0</v>
      </c>
    </row>
    <row r="1274" customFormat="false" ht="15" hidden="false" customHeight="true" outlineLevel="0" collapsed="false">
      <c r="A1274" s="7" t="s">
        <v>161</v>
      </c>
      <c r="B1274" s="7" t="s">
        <v>1402</v>
      </c>
      <c r="C1274" s="7" t="s">
        <v>109</v>
      </c>
      <c r="D1274" s="8" t="n">
        <v>1</v>
      </c>
      <c r="E1274" s="8" t="n">
        <v>0</v>
      </c>
      <c r="F1274" s="8" t="n">
        <f aca="false">D1274+E1274</f>
        <v>1</v>
      </c>
      <c r="G1274" s="23" t="n">
        <f aca="false">IF(F1274=0,"n/a",D1274/F1274)</f>
        <v>1</v>
      </c>
    </row>
    <row r="1275" customFormat="false" ht="15" hidden="false" customHeight="true" outlineLevel="0" collapsed="false">
      <c r="A1275" s="7" t="s">
        <v>161</v>
      </c>
      <c r="B1275" s="7" t="s">
        <v>1403</v>
      </c>
      <c r="C1275" s="7" t="s">
        <v>109</v>
      </c>
      <c r="D1275" s="8" t="n">
        <v>1</v>
      </c>
      <c r="E1275" s="8" t="n">
        <v>0</v>
      </c>
      <c r="F1275" s="8" t="n">
        <f aca="false">D1275+E1275</f>
        <v>1</v>
      </c>
      <c r="G1275" s="23" t="n">
        <f aca="false">IF(F1275=0,"n/a",D1275/F1275)</f>
        <v>1</v>
      </c>
    </row>
    <row r="1276" customFormat="false" ht="15" hidden="false" customHeight="true" outlineLevel="0" collapsed="false">
      <c r="A1276" s="7" t="s">
        <v>161</v>
      </c>
      <c r="B1276" s="7" t="s">
        <v>1404</v>
      </c>
      <c r="C1276" s="7" t="s">
        <v>109</v>
      </c>
      <c r="D1276" s="8" t="n">
        <v>1</v>
      </c>
      <c r="E1276" s="8" t="n">
        <v>0</v>
      </c>
      <c r="F1276" s="8" t="n">
        <f aca="false">D1276+E1276</f>
        <v>1</v>
      </c>
      <c r="G1276" s="23" t="n">
        <f aca="false">IF(F1276=0,"n/a",D1276/F1276)</f>
        <v>1</v>
      </c>
    </row>
    <row r="1277" customFormat="false" ht="15" hidden="false" customHeight="true" outlineLevel="0" collapsed="false">
      <c r="A1277" s="7" t="s">
        <v>161</v>
      </c>
      <c r="B1277" s="7" t="s">
        <v>1405</v>
      </c>
      <c r="C1277" s="7" t="s">
        <v>109</v>
      </c>
      <c r="D1277" s="8" t="n">
        <v>1</v>
      </c>
      <c r="E1277" s="8" t="n">
        <v>0</v>
      </c>
      <c r="F1277" s="8" t="n">
        <f aca="false">D1277+E1277</f>
        <v>1</v>
      </c>
      <c r="G1277" s="23" t="n">
        <f aca="false">IF(F1277=0,"n/a",D1277/F1277)</f>
        <v>1</v>
      </c>
    </row>
    <row r="1278" customFormat="false" ht="15" hidden="false" customHeight="true" outlineLevel="0" collapsed="false">
      <c r="A1278" s="7" t="s">
        <v>161</v>
      </c>
      <c r="B1278" s="7" t="s">
        <v>1406</v>
      </c>
      <c r="C1278" s="7" t="s">
        <v>109</v>
      </c>
      <c r="D1278" s="8" t="n">
        <v>1</v>
      </c>
      <c r="E1278" s="8" t="n">
        <v>0</v>
      </c>
      <c r="F1278" s="8" t="n">
        <f aca="false">D1278+E1278</f>
        <v>1</v>
      </c>
      <c r="G1278" s="23" t="n">
        <f aca="false">IF(F1278=0,"n/a",D1278/F1278)</f>
        <v>1</v>
      </c>
    </row>
    <row r="1279" customFormat="false" ht="15" hidden="false" customHeight="true" outlineLevel="0" collapsed="false">
      <c r="A1279" s="7" t="s">
        <v>162</v>
      </c>
      <c r="B1279" s="7" t="s">
        <v>1407</v>
      </c>
      <c r="C1279" s="7" t="s">
        <v>117</v>
      </c>
      <c r="D1279" s="8" t="n">
        <v>0</v>
      </c>
      <c r="E1279" s="8" t="n">
        <v>3</v>
      </c>
      <c r="F1279" s="8" t="n">
        <f aca="false">D1279+E1279</f>
        <v>3</v>
      </c>
      <c r="G1279" s="23" t="n">
        <f aca="false">IF(F1279=0,"n/a",D1279/F1279)</f>
        <v>0</v>
      </c>
    </row>
    <row r="1280" customFormat="false" ht="15" hidden="false" customHeight="true" outlineLevel="0" collapsed="false">
      <c r="A1280" s="7" t="s">
        <v>162</v>
      </c>
      <c r="B1280" s="7" t="s">
        <v>1408</v>
      </c>
      <c r="C1280" s="7" t="s">
        <v>117</v>
      </c>
      <c r="D1280" s="8" t="n">
        <v>1</v>
      </c>
      <c r="E1280" s="8" t="n">
        <v>1</v>
      </c>
      <c r="F1280" s="8" t="n">
        <f aca="false">D1280+E1280</f>
        <v>2</v>
      </c>
      <c r="G1280" s="23" t="n">
        <f aca="false">IF(F1280=0,"n/a",D1280/F1280)</f>
        <v>0.5</v>
      </c>
    </row>
    <row r="1281" customFormat="false" ht="15" hidden="false" customHeight="true" outlineLevel="0" collapsed="false">
      <c r="A1281" s="7" t="s">
        <v>162</v>
      </c>
      <c r="B1281" s="7" t="s">
        <v>1409</v>
      </c>
      <c r="C1281" s="7" t="s">
        <v>117</v>
      </c>
      <c r="D1281" s="8" t="n">
        <v>1</v>
      </c>
      <c r="E1281" s="8" t="n">
        <v>1</v>
      </c>
      <c r="F1281" s="8" t="n">
        <f aca="false">D1281+E1281</f>
        <v>2</v>
      </c>
      <c r="G1281" s="23" t="n">
        <f aca="false">IF(F1281=0,"n/a",D1281/F1281)</f>
        <v>0.5</v>
      </c>
    </row>
    <row r="1282" customFormat="false" ht="15" hidden="false" customHeight="true" outlineLevel="0" collapsed="false">
      <c r="A1282" s="11" t="s">
        <v>74</v>
      </c>
      <c r="B1282" s="11"/>
      <c r="C1282" s="11"/>
      <c r="D1282" s="18" t="n">
        <f aca="false">SUM(D3:D1281)</f>
        <v>1412</v>
      </c>
      <c r="E1282" s="18" t="n">
        <f aca="false">SUM(E3:E1281)</f>
        <v>2989</v>
      </c>
      <c r="F1282" s="18" t="n">
        <f aca="false">SUM(F3:F1281)</f>
        <v>4401</v>
      </c>
      <c r="G1282" s="29" t="n">
        <f aca="false">IF(F1282=0,"n/a",D1282/F1282)</f>
        <v>0.32083617359691</v>
      </c>
    </row>
  </sheetData>
  <autoFilter ref="A2:G128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19" min="2" style="1" width="11"/>
  </cols>
  <sheetData>
    <row r="1" customFormat="false" ht="48" hidden="false" customHeight="true" outlineLevel="0" collapsed="false">
      <c r="A1" s="9" t="s">
        <v>1410</v>
      </c>
      <c r="B1" s="9"/>
      <c r="C1" s="9"/>
      <c r="D1" s="9"/>
      <c r="E1" s="9"/>
      <c r="F1" s="9"/>
      <c r="G1" s="9"/>
      <c r="H1" s="9"/>
      <c r="I1" s="9"/>
      <c r="J1" s="9"/>
      <c r="K1" s="9"/>
      <c r="L1" s="9"/>
      <c r="M1" s="9"/>
      <c r="N1" s="9"/>
      <c r="O1" s="9"/>
      <c r="P1" s="9"/>
      <c r="Q1" s="9"/>
      <c r="R1" s="9"/>
      <c r="S1" s="9"/>
    </row>
    <row r="2" customFormat="false" ht="15" hidden="false" customHeight="true" outlineLevel="0" collapsed="false">
      <c r="B2" s="13" t="s">
        <v>74</v>
      </c>
      <c r="C2" s="13"/>
      <c r="D2" s="13"/>
      <c r="E2" s="13"/>
      <c r="F2" s="13"/>
      <c r="G2" s="13"/>
      <c r="H2" s="13" t="s">
        <v>89</v>
      </c>
      <c r="I2" s="13"/>
      <c r="J2" s="13"/>
      <c r="K2" s="13"/>
      <c r="L2" s="13"/>
      <c r="M2" s="13"/>
      <c r="N2" s="13" t="s">
        <v>90</v>
      </c>
      <c r="O2" s="13"/>
      <c r="P2" s="13"/>
      <c r="Q2" s="13"/>
      <c r="R2" s="13"/>
      <c r="S2" s="13"/>
    </row>
    <row r="3" customFormat="false" ht="15" hidden="false" customHeight="true" outlineLevel="0" collapsed="false">
      <c r="A3" s="4" t="s">
        <v>76</v>
      </c>
      <c r="B3" s="4" t="s">
        <v>91</v>
      </c>
      <c r="C3" s="4" t="s">
        <v>92</v>
      </c>
      <c r="D3" s="4" t="s">
        <v>78</v>
      </c>
      <c r="E3" s="4" t="s">
        <v>81</v>
      </c>
      <c r="F3" s="4" t="s">
        <v>79</v>
      </c>
      <c r="G3" s="4" t="s">
        <v>82</v>
      </c>
      <c r="H3" s="4" t="s">
        <v>91</v>
      </c>
      <c r="I3" s="4" t="s">
        <v>92</v>
      </c>
      <c r="J3" s="4" t="s">
        <v>78</v>
      </c>
      <c r="K3" s="4" t="s">
        <v>81</v>
      </c>
      <c r="L3" s="4" t="s">
        <v>79</v>
      </c>
      <c r="M3" s="4" t="s">
        <v>82</v>
      </c>
      <c r="N3" s="4" t="s">
        <v>91</v>
      </c>
      <c r="O3" s="4" t="s">
        <v>92</v>
      </c>
      <c r="P3" s="4" t="s">
        <v>78</v>
      </c>
      <c r="Q3" s="4" t="s">
        <v>81</v>
      </c>
      <c r="R3" s="4" t="s">
        <v>79</v>
      </c>
      <c r="S3" s="4" t="s">
        <v>82</v>
      </c>
    </row>
    <row r="4" customFormat="false" ht="15" hidden="false" customHeight="true" outlineLevel="0" collapsed="false">
      <c r="A4" s="14" t="s">
        <v>94</v>
      </c>
      <c r="B4" s="8" t="n">
        <v>50</v>
      </c>
      <c r="C4" s="8" t="n">
        <v>25</v>
      </c>
      <c r="D4" s="8" t="n">
        <v>14</v>
      </c>
      <c r="E4" s="8" t="n">
        <v>10</v>
      </c>
      <c r="F4" s="8" t="n">
        <v>8</v>
      </c>
      <c r="G4" s="8" t="n">
        <v>7</v>
      </c>
      <c r="H4" s="8" t="n">
        <v>37</v>
      </c>
      <c r="I4" s="8" t="n">
        <v>17</v>
      </c>
      <c r="J4" s="8" t="n">
        <v>14</v>
      </c>
      <c r="K4" s="8" t="n">
        <v>10</v>
      </c>
      <c r="L4" s="8" t="n">
        <v>8</v>
      </c>
      <c r="M4" s="8" t="n">
        <v>7</v>
      </c>
      <c r="N4" s="8" t="n">
        <v>13</v>
      </c>
      <c r="O4" s="8" t="n">
        <v>8</v>
      </c>
      <c r="P4" s="8" t="n">
        <v>0</v>
      </c>
      <c r="Q4" s="8" t="n">
        <v>0</v>
      </c>
      <c r="R4" s="8" t="n">
        <v>0</v>
      </c>
      <c r="S4" s="8" t="n">
        <v>0</v>
      </c>
    </row>
    <row r="5" customFormat="false" ht="15" hidden="false" customHeight="true" outlineLevel="0" collapsed="false">
      <c r="A5" s="14" t="s">
        <v>96</v>
      </c>
      <c r="B5" s="8" t="n">
        <v>294</v>
      </c>
      <c r="C5" s="8" t="n">
        <v>113</v>
      </c>
      <c r="D5" s="8" t="n">
        <v>95</v>
      </c>
      <c r="E5" s="8" t="n">
        <v>55</v>
      </c>
      <c r="F5" s="8" t="n">
        <v>28</v>
      </c>
      <c r="G5" s="8" t="n">
        <v>22</v>
      </c>
      <c r="H5" s="8" t="n">
        <v>236</v>
      </c>
      <c r="I5" s="8" t="n">
        <v>90</v>
      </c>
      <c r="J5" s="8" t="n">
        <v>81</v>
      </c>
      <c r="K5" s="8" t="n">
        <v>46</v>
      </c>
      <c r="L5" s="8" t="n">
        <v>22</v>
      </c>
      <c r="M5" s="8" t="n">
        <v>18</v>
      </c>
      <c r="N5" s="8" t="n">
        <v>58</v>
      </c>
      <c r="O5" s="8" t="n">
        <v>23</v>
      </c>
      <c r="P5" s="8" t="n">
        <v>14</v>
      </c>
      <c r="Q5" s="8" t="n">
        <v>9</v>
      </c>
      <c r="R5" s="8" t="n">
        <v>6</v>
      </c>
      <c r="S5" s="8" t="n">
        <v>4</v>
      </c>
    </row>
    <row r="6" customFormat="false" ht="15" hidden="false" customHeight="true" outlineLevel="0" collapsed="false">
      <c r="A6" s="14" t="s">
        <v>98</v>
      </c>
      <c r="B6" s="8" t="n">
        <v>180</v>
      </c>
      <c r="C6" s="8" t="n">
        <v>64</v>
      </c>
      <c r="D6" s="8" t="n">
        <v>80</v>
      </c>
      <c r="E6" s="8" t="n">
        <v>39</v>
      </c>
      <c r="F6" s="8" t="n">
        <v>30</v>
      </c>
      <c r="G6" s="8" t="n">
        <v>20</v>
      </c>
      <c r="H6" s="8" t="n">
        <v>116</v>
      </c>
      <c r="I6" s="8" t="n">
        <v>42</v>
      </c>
      <c r="J6" s="8" t="n">
        <v>60</v>
      </c>
      <c r="K6" s="8" t="n">
        <v>26</v>
      </c>
      <c r="L6" s="8" t="n">
        <v>23</v>
      </c>
      <c r="M6" s="8" t="n">
        <v>14</v>
      </c>
      <c r="N6" s="8" t="n">
        <v>64</v>
      </c>
      <c r="O6" s="8" t="n">
        <v>22</v>
      </c>
      <c r="P6" s="8" t="n">
        <v>20</v>
      </c>
      <c r="Q6" s="8" t="n">
        <v>13</v>
      </c>
      <c r="R6" s="8" t="n">
        <v>7</v>
      </c>
      <c r="S6" s="8" t="n">
        <v>6</v>
      </c>
    </row>
    <row r="7" customFormat="false" ht="15" hidden="false" customHeight="true" outlineLevel="0" collapsed="false">
      <c r="A7" s="14" t="s">
        <v>100</v>
      </c>
      <c r="B7" s="8" t="n">
        <v>273</v>
      </c>
      <c r="C7" s="8" t="n">
        <v>107</v>
      </c>
      <c r="D7" s="8" t="n">
        <v>51</v>
      </c>
      <c r="E7" s="8" t="n">
        <v>27</v>
      </c>
      <c r="F7" s="8" t="n">
        <v>19</v>
      </c>
      <c r="G7" s="8" t="n">
        <v>16</v>
      </c>
      <c r="H7" s="8" t="n">
        <v>189</v>
      </c>
      <c r="I7" s="8" t="n">
        <v>70</v>
      </c>
      <c r="J7" s="8" t="n">
        <v>40</v>
      </c>
      <c r="K7" s="8" t="n">
        <v>21</v>
      </c>
      <c r="L7" s="8" t="n">
        <v>14</v>
      </c>
      <c r="M7" s="8" t="n">
        <v>12</v>
      </c>
      <c r="N7" s="8" t="n">
        <v>84</v>
      </c>
      <c r="O7" s="8" t="n">
        <v>37</v>
      </c>
      <c r="P7" s="8" t="n">
        <v>11</v>
      </c>
      <c r="Q7" s="8" t="n">
        <v>6</v>
      </c>
      <c r="R7" s="8" t="n">
        <v>5</v>
      </c>
      <c r="S7" s="8" t="n">
        <v>4</v>
      </c>
    </row>
    <row r="8" customFormat="false" ht="15" hidden="false" customHeight="true" outlineLevel="0" collapsed="false">
      <c r="A8" s="14" t="s">
        <v>102</v>
      </c>
      <c r="B8" s="8" t="n">
        <v>1499</v>
      </c>
      <c r="C8" s="8" t="n">
        <v>648</v>
      </c>
      <c r="D8" s="8" t="n">
        <v>306</v>
      </c>
      <c r="E8" s="8" t="n">
        <v>195</v>
      </c>
      <c r="F8" s="8" t="n">
        <v>106</v>
      </c>
      <c r="G8" s="8" t="n">
        <v>90</v>
      </c>
      <c r="H8" s="8" t="n">
        <v>686</v>
      </c>
      <c r="I8" s="8" t="n">
        <v>394</v>
      </c>
      <c r="J8" s="8" t="n">
        <v>147</v>
      </c>
      <c r="K8" s="8" t="n">
        <v>110</v>
      </c>
      <c r="L8" s="8" t="n">
        <v>51</v>
      </c>
      <c r="M8" s="8" t="n">
        <v>46</v>
      </c>
      <c r="N8" s="8" t="n">
        <v>813</v>
      </c>
      <c r="O8" s="8" t="n">
        <v>254</v>
      </c>
      <c r="P8" s="8" t="n">
        <v>159</v>
      </c>
      <c r="Q8" s="8" t="n">
        <v>85</v>
      </c>
      <c r="R8" s="8" t="n">
        <v>55</v>
      </c>
      <c r="S8" s="8" t="n">
        <v>44</v>
      </c>
    </row>
    <row r="9" customFormat="false" ht="15" hidden="false" customHeight="true" outlineLevel="0" collapsed="false">
      <c r="A9" s="14" t="s">
        <v>104</v>
      </c>
      <c r="B9" s="8" t="n">
        <v>352</v>
      </c>
      <c r="C9" s="8" t="n">
        <v>107</v>
      </c>
      <c r="D9" s="8" t="n">
        <v>82</v>
      </c>
      <c r="E9" s="8" t="n">
        <v>37</v>
      </c>
      <c r="F9" s="8" t="n">
        <v>24</v>
      </c>
      <c r="G9" s="8" t="n">
        <v>16</v>
      </c>
      <c r="H9" s="8" t="n">
        <v>205</v>
      </c>
      <c r="I9" s="8" t="n">
        <v>57</v>
      </c>
      <c r="J9" s="8" t="n">
        <v>56</v>
      </c>
      <c r="K9" s="8" t="n">
        <v>21</v>
      </c>
      <c r="L9" s="8" t="n">
        <v>21</v>
      </c>
      <c r="M9" s="8" t="n">
        <v>13</v>
      </c>
      <c r="N9" s="8" t="n">
        <v>147</v>
      </c>
      <c r="O9" s="8" t="n">
        <v>50</v>
      </c>
      <c r="P9" s="8" t="n">
        <v>26</v>
      </c>
      <c r="Q9" s="8" t="n">
        <v>16</v>
      </c>
      <c r="R9" s="8" t="n">
        <v>3</v>
      </c>
      <c r="S9" s="8" t="n">
        <v>3</v>
      </c>
    </row>
    <row r="10" customFormat="false" ht="15" hidden="false" customHeight="true" outlineLevel="0" collapsed="false">
      <c r="A10" s="14" t="s">
        <v>106</v>
      </c>
      <c r="B10" s="8" t="n">
        <v>254</v>
      </c>
      <c r="C10" s="8" t="n">
        <v>57</v>
      </c>
      <c r="D10" s="8" t="n">
        <v>32</v>
      </c>
      <c r="E10" s="8" t="n">
        <v>14</v>
      </c>
      <c r="F10" s="8" t="n">
        <v>6</v>
      </c>
      <c r="G10" s="8" t="n">
        <v>6</v>
      </c>
      <c r="H10" s="8" t="n">
        <v>175</v>
      </c>
      <c r="I10" s="8" t="n">
        <v>26</v>
      </c>
      <c r="J10" s="8" t="n">
        <v>24</v>
      </c>
      <c r="K10" s="8" t="n">
        <v>7</v>
      </c>
      <c r="L10" s="8" t="n">
        <v>4</v>
      </c>
      <c r="M10" s="8" t="n">
        <v>4</v>
      </c>
      <c r="N10" s="8" t="n">
        <v>79</v>
      </c>
      <c r="O10" s="8" t="n">
        <v>31</v>
      </c>
      <c r="P10" s="8" t="n">
        <v>8</v>
      </c>
      <c r="Q10" s="8" t="n">
        <v>7</v>
      </c>
      <c r="R10" s="8" t="n">
        <v>2</v>
      </c>
      <c r="S10" s="8" t="n">
        <v>2</v>
      </c>
    </row>
    <row r="11" customFormat="false" ht="15" hidden="false" customHeight="true" outlineLevel="0" collapsed="false">
      <c r="A11" s="14" t="s">
        <v>108</v>
      </c>
      <c r="B11" s="8" t="n">
        <v>34</v>
      </c>
      <c r="C11" s="8" t="n">
        <v>16</v>
      </c>
      <c r="D11" s="8" t="n">
        <v>1</v>
      </c>
      <c r="E11" s="8" t="n">
        <v>1</v>
      </c>
      <c r="F11" s="8" t="n">
        <v>0</v>
      </c>
      <c r="G11" s="8" t="n">
        <v>0</v>
      </c>
      <c r="H11" s="8" t="n">
        <v>22</v>
      </c>
      <c r="I11" s="8" t="n">
        <v>9</v>
      </c>
      <c r="J11" s="8" t="n">
        <v>0</v>
      </c>
      <c r="K11" s="8" t="n">
        <v>0</v>
      </c>
      <c r="L11" s="8" t="n">
        <v>0</v>
      </c>
      <c r="M11" s="8" t="n">
        <v>0</v>
      </c>
      <c r="N11" s="8" t="n">
        <v>12</v>
      </c>
      <c r="O11" s="8" t="n">
        <v>7</v>
      </c>
      <c r="P11" s="8" t="n">
        <v>1</v>
      </c>
      <c r="Q11" s="8" t="n">
        <v>1</v>
      </c>
      <c r="R11" s="8" t="n">
        <v>0</v>
      </c>
      <c r="S11" s="8" t="n">
        <v>0</v>
      </c>
    </row>
    <row r="12" customFormat="false" ht="15" hidden="false" customHeight="true" outlineLevel="0" collapsed="false">
      <c r="A12" s="14" t="s">
        <v>110</v>
      </c>
      <c r="B12" s="8" t="n">
        <v>28</v>
      </c>
      <c r="C12" s="8" t="n">
        <v>14</v>
      </c>
      <c r="D12" s="8" t="n">
        <v>2</v>
      </c>
      <c r="E12" s="8" t="n">
        <v>2</v>
      </c>
      <c r="F12" s="8" t="n">
        <v>1</v>
      </c>
      <c r="G12" s="8" t="n">
        <v>1</v>
      </c>
      <c r="H12" s="8" t="n">
        <v>25</v>
      </c>
      <c r="I12" s="8" t="n">
        <v>12</v>
      </c>
      <c r="J12" s="8" t="n">
        <v>1</v>
      </c>
      <c r="K12" s="8" t="n">
        <v>1</v>
      </c>
      <c r="L12" s="8" t="n">
        <v>1</v>
      </c>
      <c r="M12" s="8" t="n">
        <v>1</v>
      </c>
      <c r="N12" s="8" t="n">
        <v>3</v>
      </c>
      <c r="O12" s="8" t="n">
        <v>2</v>
      </c>
      <c r="P12" s="8" t="n">
        <v>1</v>
      </c>
      <c r="Q12" s="8" t="n">
        <v>1</v>
      </c>
      <c r="R12" s="8" t="n">
        <v>0</v>
      </c>
      <c r="S12" s="8" t="n">
        <v>0</v>
      </c>
    </row>
    <row r="13" customFormat="false" ht="15" hidden="false" customHeight="true" outlineLevel="0" collapsed="false">
      <c r="A13" s="14" t="s">
        <v>111</v>
      </c>
      <c r="B13" s="8" t="n">
        <v>1107</v>
      </c>
      <c r="C13" s="8" t="n">
        <v>273</v>
      </c>
      <c r="D13" s="8" t="n">
        <v>159</v>
      </c>
      <c r="E13" s="8" t="n">
        <v>67</v>
      </c>
      <c r="F13" s="8" t="n">
        <v>46</v>
      </c>
      <c r="G13" s="8" t="n">
        <v>32</v>
      </c>
      <c r="H13" s="8" t="n">
        <v>829</v>
      </c>
      <c r="I13" s="8" t="n">
        <v>153</v>
      </c>
      <c r="J13" s="8" t="n">
        <v>120</v>
      </c>
      <c r="K13" s="8" t="n">
        <v>40</v>
      </c>
      <c r="L13" s="8" t="n">
        <v>33</v>
      </c>
      <c r="M13" s="8" t="n">
        <v>21</v>
      </c>
      <c r="N13" s="8" t="n">
        <v>278</v>
      </c>
      <c r="O13" s="8" t="n">
        <v>120</v>
      </c>
      <c r="P13" s="8" t="n">
        <v>39</v>
      </c>
      <c r="Q13" s="8" t="n">
        <v>27</v>
      </c>
      <c r="R13" s="8" t="n">
        <v>13</v>
      </c>
      <c r="S13" s="8" t="n">
        <v>11</v>
      </c>
    </row>
    <row r="14" customFormat="false" ht="15" hidden="false" customHeight="true" outlineLevel="0" collapsed="false">
      <c r="A14" s="14" t="s">
        <v>113</v>
      </c>
      <c r="B14" s="8" t="n">
        <v>683</v>
      </c>
      <c r="C14" s="8" t="n">
        <v>220</v>
      </c>
      <c r="D14" s="8" t="n">
        <v>185</v>
      </c>
      <c r="E14" s="8" t="n">
        <v>86</v>
      </c>
      <c r="F14" s="8" t="n">
        <v>63</v>
      </c>
      <c r="G14" s="8" t="n">
        <v>36</v>
      </c>
      <c r="H14" s="8" t="n">
        <v>561</v>
      </c>
      <c r="I14" s="8" t="n">
        <v>171</v>
      </c>
      <c r="J14" s="8" t="n">
        <v>163</v>
      </c>
      <c r="K14" s="8" t="n">
        <v>74</v>
      </c>
      <c r="L14" s="8" t="n">
        <v>59</v>
      </c>
      <c r="M14" s="8" t="n">
        <v>33</v>
      </c>
      <c r="N14" s="8" t="n">
        <v>122</v>
      </c>
      <c r="O14" s="8" t="n">
        <v>49</v>
      </c>
      <c r="P14" s="8" t="n">
        <v>22</v>
      </c>
      <c r="Q14" s="8" t="n">
        <v>12</v>
      </c>
      <c r="R14" s="8" t="n">
        <v>4</v>
      </c>
      <c r="S14" s="8" t="n">
        <v>3</v>
      </c>
    </row>
    <row r="15" customFormat="false" ht="15" hidden="false" customHeight="true" outlineLevel="0" collapsed="false">
      <c r="A15" s="14" t="s">
        <v>115</v>
      </c>
      <c r="B15" s="8" t="n">
        <v>80</v>
      </c>
      <c r="C15" s="8" t="n">
        <v>40</v>
      </c>
      <c r="D15" s="8" t="n">
        <v>19</v>
      </c>
      <c r="E15" s="8" t="n">
        <v>15</v>
      </c>
      <c r="F15" s="8" t="n">
        <v>11</v>
      </c>
      <c r="G15" s="8" t="n">
        <v>10</v>
      </c>
      <c r="H15" s="8" t="n">
        <v>36</v>
      </c>
      <c r="I15" s="8" t="n">
        <v>27</v>
      </c>
      <c r="J15" s="8" t="n">
        <v>12</v>
      </c>
      <c r="K15" s="8" t="n">
        <v>10</v>
      </c>
      <c r="L15" s="8" t="n">
        <v>8</v>
      </c>
      <c r="M15" s="8" t="n">
        <v>7</v>
      </c>
      <c r="N15" s="8" t="n">
        <v>44</v>
      </c>
      <c r="O15" s="8" t="n">
        <v>13</v>
      </c>
      <c r="P15" s="8" t="n">
        <v>7</v>
      </c>
      <c r="Q15" s="8" t="n">
        <v>5</v>
      </c>
      <c r="R15" s="8" t="n">
        <v>3</v>
      </c>
      <c r="S15" s="8" t="n">
        <v>3</v>
      </c>
    </row>
    <row r="16" customFormat="false" ht="15" hidden="false" customHeight="true" outlineLevel="0" collapsed="false">
      <c r="A16" s="14" t="s">
        <v>116</v>
      </c>
      <c r="B16" s="8" t="n">
        <v>179</v>
      </c>
      <c r="C16" s="8" t="n">
        <v>51</v>
      </c>
      <c r="D16" s="8" t="n">
        <v>57</v>
      </c>
      <c r="E16" s="8" t="n">
        <v>28</v>
      </c>
      <c r="F16" s="8" t="n">
        <v>17</v>
      </c>
      <c r="G16" s="8" t="n">
        <v>11</v>
      </c>
      <c r="H16" s="8" t="n">
        <v>121</v>
      </c>
      <c r="I16" s="8" t="n">
        <v>28</v>
      </c>
      <c r="J16" s="8" t="n">
        <v>43</v>
      </c>
      <c r="K16" s="8" t="n">
        <v>17</v>
      </c>
      <c r="L16" s="8" t="n">
        <v>13</v>
      </c>
      <c r="M16" s="8" t="n">
        <v>7</v>
      </c>
      <c r="N16" s="8" t="n">
        <v>58</v>
      </c>
      <c r="O16" s="8" t="n">
        <v>23</v>
      </c>
      <c r="P16" s="8" t="n">
        <v>14</v>
      </c>
      <c r="Q16" s="8" t="n">
        <v>11</v>
      </c>
      <c r="R16" s="8" t="n">
        <v>4</v>
      </c>
      <c r="S16" s="8" t="n">
        <v>4</v>
      </c>
    </row>
    <row r="17" customFormat="false" ht="15" hidden="false" customHeight="true" outlineLevel="0" collapsed="false">
      <c r="A17" s="14" t="s">
        <v>118</v>
      </c>
      <c r="B17" s="8" t="n">
        <v>102</v>
      </c>
      <c r="C17" s="8" t="n">
        <v>32</v>
      </c>
      <c r="D17" s="8" t="n">
        <v>33</v>
      </c>
      <c r="E17" s="8" t="n">
        <v>15</v>
      </c>
      <c r="F17" s="8" t="n">
        <v>7</v>
      </c>
      <c r="G17" s="8" t="n">
        <v>6</v>
      </c>
      <c r="H17" s="8" t="n">
        <v>58</v>
      </c>
      <c r="I17" s="8" t="n">
        <v>20</v>
      </c>
      <c r="J17" s="8" t="n">
        <v>19</v>
      </c>
      <c r="K17" s="8" t="n">
        <v>10</v>
      </c>
      <c r="L17" s="8" t="n">
        <v>4</v>
      </c>
      <c r="M17" s="8" t="n">
        <v>3</v>
      </c>
      <c r="N17" s="8" t="n">
        <v>44</v>
      </c>
      <c r="O17" s="8" t="n">
        <v>12</v>
      </c>
      <c r="P17" s="8" t="n">
        <v>14</v>
      </c>
      <c r="Q17" s="8" t="n">
        <v>5</v>
      </c>
      <c r="R17" s="8" t="n">
        <v>3</v>
      </c>
      <c r="S17" s="8" t="n">
        <v>3</v>
      </c>
    </row>
    <row r="18" customFormat="false" ht="15" hidden="false" customHeight="true" outlineLevel="0" collapsed="false">
      <c r="A18" s="14" t="s">
        <v>119</v>
      </c>
      <c r="B18" s="8" t="n">
        <v>718</v>
      </c>
      <c r="C18" s="8" t="n">
        <v>241</v>
      </c>
      <c r="D18" s="8" t="n">
        <v>113</v>
      </c>
      <c r="E18" s="8" t="n">
        <v>68</v>
      </c>
      <c r="F18" s="8" t="n">
        <v>22</v>
      </c>
      <c r="G18" s="8" t="n">
        <v>21</v>
      </c>
      <c r="H18" s="8" t="n">
        <v>370</v>
      </c>
      <c r="I18" s="8" t="n">
        <v>160</v>
      </c>
      <c r="J18" s="8" t="n">
        <v>62</v>
      </c>
      <c r="K18" s="8" t="n">
        <v>42</v>
      </c>
      <c r="L18" s="8" t="n">
        <v>13</v>
      </c>
      <c r="M18" s="8" t="n">
        <v>12</v>
      </c>
      <c r="N18" s="8" t="n">
        <v>348</v>
      </c>
      <c r="O18" s="8" t="n">
        <v>81</v>
      </c>
      <c r="P18" s="8" t="n">
        <v>51</v>
      </c>
      <c r="Q18" s="8" t="n">
        <v>26</v>
      </c>
      <c r="R18" s="8" t="n">
        <v>9</v>
      </c>
      <c r="S18" s="8" t="n">
        <v>9</v>
      </c>
    </row>
    <row r="19" customFormat="false" ht="15" hidden="false" customHeight="true" outlineLevel="0" collapsed="false">
      <c r="A19" s="14" t="s">
        <v>121</v>
      </c>
      <c r="B19" s="8" t="n">
        <v>442</v>
      </c>
      <c r="C19" s="8" t="n">
        <v>111</v>
      </c>
      <c r="D19" s="8" t="n">
        <v>182</v>
      </c>
      <c r="E19" s="8" t="n">
        <v>58</v>
      </c>
      <c r="F19" s="8" t="n">
        <v>64</v>
      </c>
      <c r="G19" s="8" t="n">
        <v>31</v>
      </c>
      <c r="H19" s="8" t="n">
        <v>269</v>
      </c>
      <c r="I19" s="8" t="n">
        <v>63</v>
      </c>
      <c r="J19" s="8" t="n">
        <v>122</v>
      </c>
      <c r="K19" s="8" t="n">
        <v>32</v>
      </c>
      <c r="L19" s="8" t="n">
        <v>45</v>
      </c>
      <c r="M19" s="8" t="n">
        <v>18</v>
      </c>
      <c r="N19" s="8" t="n">
        <v>173</v>
      </c>
      <c r="O19" s="8" t="n">
        <v>48</v>
      </c>
      <c r="P19" s="8" t="n">
        <v>60</v>
      </c>
      <c r="Q19" s="8" t="n">
        <v>26</v>
      </c>
      <c r="R19" s="8" t="n">
        <v>19</v>
      </c>
      <c r="S19" s="8" t="n">
        <v>13</v>
      </c>
    </row>
    <row r="20" customFormat="false" ht="15" hidden="false" customHeight="true" outlineLevel="0" collapsed="false">
      <c r="A20" s="14" t="s">
        <v>123</v>
      </c>
      <c r="B20" s="8" t="n">
        <v>176</v>
      </c>
      <c r="C20" s="8" t="n">
        <v>51</v>
      </c>
      <c r="D20" s="8" t="n">
        <v>60</v>
      </c>
      <c r="E20" s="8" t="n">
        <v>23</v>
      </c>
      <c r="F20" s="8" t="n">
        <v>22</v>
      </c>
      <c r="G20" s="8" t="n">
        <v>11</v>
      </c>
      <c r="H20" s="8" t="n">
        <v>136</v>
      </c>
      <c r="I20" s="8" t="n">
        <v>32</v>
      </c>
      <c r="J20" s="8" t="n">
        <v>50</v>
      </c>
      <c r="K20" s="8" t="n">
        <v>16</v>
      </c>
      <c r="L20" s="8" t="n">
        <v>17</v>
      </c>
      <c r="M20" s="8" t="n">
        <v>8</v>
      </c>
      <c r="N20" s="8" t="n">
        <v>40</v>
      </c>
      <c r="O20" s="8" t="n">
        <v>19</v>
      </c>
      <c r="P20" s="8" t="n">
        <v>10</v>
      </c>
      <c r="Q20" s="8" t="n">
        <v>7</v>
      </c>
      <c r="R20" s="8" t="n">
        <v>5</v>
      </c>
      <c r="S20" s="8" t="n">
        <v>3</v>
      </c>
    </row>
    <row r="21" customFormat="false" ht="15" hidden="false" customHeight="true" outlineLevel="0" collapsed="false">
      <c r="A21" s="14" t="s">
        <v>125</v>
      </c>
      <c r="B21" s="8" t="n">
        <v>277</v>
      </c>
      <c r="C21" s="8" t="n">
        <v>77</v>
      </c>
      <c r="D21" s="8" t="n">
        <v>93</v>
      </c>
      <c r="E21" s="8" t="n">
        <v>41</v>
      </c>
      <c r="F21" s="8" t="n">
        <v>36</v>
      </c>
      <c r="G21" s="8" t="n">
        <v>22</v>
      </c>
      <c r="H21" s="8" t="n">
        <v>170</v>
      </c>
      <c r="I21" s="8" t="n">
        <v>47</v>
      </c>
      <c r="J21" s="8" t="n">
        <v>57</v>
      </c>
      <c r="K21" s="8" t="n">
        <v>28</v>
      </c>
      <c r="L21" s="8" t="n">
        <v>23</v>
      </c>
      <c r="M21" s="8" t="n">
        <v>14</v>
      </c>
      <c r="N21" s="8" t="n">
        <v>107</v>
      </c>
      <c r="O21" s="8" t="n">
        <v>30</v>
      </c>
      <c r="P21" s="8" t="n">
        <v>36</v>
      </c>
      <c r="Q21" s="8" t="n">
        <v>13</v>
      </c>
      <c r="R21" s="8" t="n">
        <v>13</v>
      </c>
      <c r="S21" s="8" t="n">
        <v>8</v>
      </c>
    </row>
    <row r="22" customFormat="false" ht="15" hidden="false" customHeight="true" outlineLevel="0" collapsed="false">
      <c r="A22" s="14" t="s">
        <v>127</v>
      </c>
      <c r="B22" s="8" t="n">
        <v>297</v>
      </c>
      <c r="C22" s="8" t="n">
        <v>112</v>
      </c>
      <c r="D22" s="8" t="n">
        <v>73</v>
      </c>
      <c r="E22" s="8" t="n">
        <v>42</v>
      </c>
      <c r="F22" s="8" t="n">
        <v>21</v>
      </c>
      <c r="G22" s="8" t="n">
        <v>16</v>
      </c>
      <c r="H22" s="8" t="n">
        <v>160</v>
      </c>
      <c r="I22" s="8" t="n">
        <v>65</v>
      </c>
      <c r="J22" s="8" t="n">
        <v>44</v>
      </c>
      <c r="K22" s="8" t="n">
        <v>25</v>
      </c>
      <c r="L22" s="8" t="n">
        <v>13</v>
      </c>
      <c r="M22" s="8" t="n">
        <v>9</v>
      </c>
      <c r="N22" s="8" t="n">
        <v>137</v>
      </c>
      <c r="O22" s="8" t="n">
        <v>47</v>
      </c>
      <c r="P22" s="8" t="n">
        <v>29</v>
      </c>
      <c r="Q22" s="8" t="n">
        <v>17</v>
      </c>
      <c r="R22" s="8" t="n">
        <v>8</v>
      </c>
      <c r="S22" s="8" t="n">
        <v>7</v>
      </c>
    </row>
    <row r="23" customFormat="false" ht="15" hidden="false" customHeight="true" outlineLevel="0" collapsed="false">
      <c r="A23" s="14" t="s">
        <v>128</v>
      </c>
      <c r="B23" s="8" t="n">
        <v>353</v>
      </c>
      <c r="C23" s="8" t="n">
        <v>119</v>
      </c>
      <c r="D23" s="8" t="n">
        <v>44</v>
      </c>
      <c r="E23" s="8" t="n">
        <v>34</v>
      </c>
      <c r="F23" s="8" t="n">
        <v>11</v>
      </c>
      <c r="G23" s="8" t="n">
        <v>10</v>
      </c>
      <c r="H23" s="8" t="n">
        <v>175</v>
      </c>
      <c r="I23" s="8" t="n">
        <v>74</v>
      </c>
      <c r="J23" s="8" t="n">
        <v>27</v>
      </c>
      <c r="K23" s="8" t="n">
        <v>19</v>
      </c>
      <c r="L23" s="8" t="n">
        <v>7</v>
      </c>
      <c r="M23" s="8" t="n">
        <v>7</v>
      </c>
      <c r="N23" s="8" t="n">
        <v>178</v>
      </c>
      <c r="O23" s="8" t="n">
        <v>45</v>
      </c>
      <c r="P23" s="8" t="n">
        <v>17</v>
      </c>
      <c r="Q23" s="8" t="n">
        <v>15</v>
      </c>
      <c r="R23" s="8" t="n">
        <v>4</v>
      </c>
      <c r="S23" s="8" t="n">
        <v>3</v>
      </c>
    </row>
    <row r="24" customFormat="false" ht="15" hidden="false" customHeight="true" outlineLevel="0" collapsed="false">
      <c r="A24" s="14" t="s">
        <v>129</v>
      </c>
      <c r="B24" s="8" t="n">
        <v>320</v>
      </c>
      <c r="C24" s="8" t="n">
        <v>97</v>
      </c>
      <c r="D24" s="8" t="n">
        <v>42</v>
      </c>
      <c r="E24" s="8" t="n">
        <v>26</v>
      </c>
      <c r="F24" s="8" t="n">
        <v>14</v>
      </c>
      <c r="G24" s="8" t="n">
        <v>13</v>
      </c>
      <c r="H24" s="8" t="n">
        <v>205</v>
      </c>
      <c r="I24" s="8" t="n">
        <v>50</v>
      </c>
      <c r="J24" s="8" t="n">
        <v>31</v>
      </c>
      <c r="K24" s="8" t="n">
        <v>15</v>
      </c>
      <c r="L24" s="8" t="n">
        <v>8</v>
      </c>
      <c r="M24" s="8" t="n">
        <v>7</v>
      </c>
      <c r="N24" s="8" t="n">
        <v>115</v>
      </c>
      <c r="O24" s="8" t="n">
        <v>47</v>
      </c>
      <c r="P24" s="8" t="n">
        <v>11</v>
      </c>
      <c r="Q24" s="8" t="n">
        <v>11</v>
      </c>
      <c r="R24" s="8" t="n">
        <v>6</v>
      </c>
      <c r="S24" s="8" t="n">
        <v>6</v>
      </c>
    </row>
    <row r="25" customFormat="false" ht="15" hidden="false" customHeight="true" outlineLevel="0" collapsed="false">
      <c r="A25" s="14" t="s">
        <v>130</v>
      </c>
      <c r="B25" s="8" t="n">
        <v>110</v>
      </c>
      <c r="C25" s="8" t="n">
        <v>41</v>
      </c>
      <c r="D25" s="8" t="n">
        <v>22</v>
      </c>
      <c r="E25" s="8" t="n">
        <v>7</v>
      </c>
      <c r="F25" s="8" t="n">
        <v>6</v>
      </c>
      <c r="G25" s="8" t="n">
        <v>2</v>
      </c>
      <c r="H25" s="8" t="n">
        <v>42</v>
      </c>
      <c r="I25" s="8" t="n">
        <v>16</v>
      </c>
      <c r="J25" s="8" t="n">
        <v>18</v>
      </c>
      <c r="K25" s="8" t="n">
        <v>3</v>
      </c>
      <c r="L25" s="8" t="n">
        <v>5</v>
      </c>
      <c r="M25" s="8" t="n">
        <v>1</v>
      </c>
      <c r="N25" s="8" t="n">
        <v>68</v>
      </c>
      <c r="O25" s="8" t="n">
        <v>25</v>
      </c>
      <c r="P25" s="8" t="n">
        <v>4</v>
      </c>
      <c r="Q25" s="8" t="n">
        <v>4</v>
      </c>
      <c r="R25" s="8" t="n">
        <v>1</v>
      </c>
      <c r="S25" s="8" t="n">
        <v>1</v>
      </c>
    </row>
    <row r="26" customFormat="false" ht="15" hidden="false" customHeight="true" outlineLevel="0" collapsed="false">
      <c r="A26" s="14" t="s">
        <v>68</v>
      </c>
      <c r="B26" s="8" t="n">
        <v>746</v>
      </c>
      <c r="C26" s="8" t="n">
        <v>207</v>
      </c>
      <c r="D26" s="8" t="n">
        <v>222</v>
      </c>
      <c r="E26" s="8" t="n">
        <v>102</v>
      </c>
      <c r="F26" s="8" t="n">
        <v>68</v>
      </c>
      <c r="G26" s="8" t="n">
        <v>42</v>
      </c>
      <c r="H26" s="8" t="n">
        <v>305</v>
      </c>
      <c r="I26" s="8" t="n">
        <v>111</v>
      </c>
      <c r="J26" s="8" t="n">
        <v>113</v>
      </c>
      <c r="K26" s="8" t="n">
        <v>57</v>
      </c>
      <c r="L26" s="8" t="n">
        <v>33</v>
      </c>
      <c r="M26" s="8" t="n">
        <v>24</v>
      </c>
      <c r="N26" s="8" t="n">
        <v>441</v>
      </c>
      <c r="O26" s="8" t="n">
        <v>96</v>
      </c>
      <c r="P26" s="8" t="n">
        <v>109</v>
      </c>
      <c r="Q26" s="8" t="n">
        <v>45</v>
      </c>
      <c r="R26" s="8" t="n">
        <v>35</v>
      </c>
      <c r="S26" s="8" t="n">
        <v>18</v>
      </c>
    </row>
    <row r="27" customFormat="false" ht="15" hidden="false" customHeight="true" outlineLevel="0" collapsed="false">
      <c r="A27" s="14" t="s">
        <v>132</v>
      </c>
      <c r="B27" s="8" t="n">
        <v>395</v>
      </c>
      <c r="C27" s="8" t="n">
        <v>93</v>
      </c>
      <c r="D27" s="8" t="n">
        <v>89</v>
      </c>
      <c r="E27" s="8" t="n">
        <v>37</v>
      </c>
      <c r="F27" s="8" t="n">
        <v>22</v>
      </c>
      <c r="G27" s="8" t="n">
        <v>14</v>
      </c>
      <c r="H27" s="8" t="n">
        <v>215</v>
      </c>
      <c r="I27" s="8" t="n">
        <v>46</v>
      </c>
      <c r="J27" s="8" t="n">
        <v>59</v>
      </c>
      <c r="K27" s="8" t="n">
        <v>18</v>
      </c>
      <c r="L27" s="8" t="n">
        <v>19</v>
      </c>
      <c r="M27" s="8" t="n">
        <v>11</v>
      </c>
      <c r="N27" s="8" t="n">
        <v>180</v>
      </c>
      <c r="O27" s="8" t="n">
        <v>47</v>
      </c>
      <c r="P27" s="8" t="n">
        <v>30</v>
      </c>
      <c r="Q27" s="8" t="n">
        <v>19</v>
      </c>
      <c r="R27" s="8" t="n">
        <v>3</v>
      </c>
      <c r="S27" s="8" t="n">
        <v>3</v>
      </c>
    </row>
    <row r="28" customFormat="false" ht="15" hidden="false" customHeight="true" outlineLevel="0" collapsed="false">
      <c r="A28" s="14" t="s">
        <v>134</v>
      </c>
      <c r="B28" s="8" t="n">
        <v>387</v>
      </c>
      <c r="C28" s="8" t="n">
        <v>123</v>
      </c>
      <c r="D28" s="8" t="n">
        <v>102</v>
      </c>
      <c r="E28" s="8" t="n">
        <v>52</v>
      </c>
      <c r="F28" s="8" t="n">
        <v>30</v>
      </c>
      <c r="G28" s="8" t="n">
        <v>25</v>
      </c>
      <c r="H28" s="8" t="n">
        <v>220</v>
      </c>
      <c r="I28" s="8" t="n">
        <v>72</v>
      </c>
      <c r="J28" s="8" t="n">
        <v>59</v>
      </c>
      <c r="K28" s="8" t="n">
        <v>28</v>
      </c>
      <c r="L28" s="8" t="n">
        <v>18</v>
      </c>
      <c r="M28" s="8" t="n">
        <v>13</v>
      </c>
      <c r="N28" s="8" t="n">
        <v>167</v>
      </c>
      <c r="O28" s="8" t="n">
        <v>51</v>
      </c>
      <c r="P28" s="8" t="n">
        <v>43</v>
      </c>
      <c r="Q28" s="8" t="n">
        <v>24</v>
      </c>
      <c r="R28" s="8" t="n">
        <v>12</v>
      </c>
      <c r="S28" s="8" t="n">
        <v>12</v>
      </c>
    </row>
    <row r="29" customFormat="false" ht="15" hidden="false" customHeight="true" outlineLevel="0" collapsed="false">
      <c r="A29" s="14" t="s">
        <v>135</v>
      </c>
      <c r="B29" s="8" t="n">
        <v>168</v>
      </c>
      <c r="C29" s="8" t="n">
        <v>61</v>
      </c>
      <c r="D29" s="8" t="n">
        <v>82</v>
      </c>
      <c r="E29" s="8" t="n">
        <v>36</v>
      </c>
      <c r="F29" s="8" t="n">
        <v>36</v>
      </c>
      <c r="G29" s="8" t="n">
        <v>21</v>
      </c>
      <c r="H29" s="8" t="n">
        <v>137</v>
      </c>
      <c r="I29" s="8" t="n">
        <v>47</v>
      </c>
      <c r="J29" s="8" t="n">
        <v>75</v>
      </c>
      <c r="K29" s="8" t="n">
        <v>32</v>
      </c>
      <c r="L29" s="8" t="n">
        <v>34</v>
      </c>
      <c r="M29" s="8" t="n">
        <v>19</v>
      </c>
      <c r="N29" s="8" t="n">
        <v>31</v>
      </c>
      <c r="O29" s="8" t="n">
        <v>14</v>
      </c>
      <c r="P29" s="8" t="n">
        <v>7</v>
      </c>
      <c r="Q29" s="8" t="n">
        <v>4</v>
      </c>
      <c r="R29" s="8" t="n">
        <v>2</v>
      </c>
      <c r="S29" s="8" t="n">
        <v>2</v>
      </c>
    </row>
    <row r="30" customFormat="false" ht="15" hidden="false" customHeight="true" outlineLevel="0" collapsed="false">
      <c r="A30" s="14" t="s">
        <v>136</v>
      </c>
      <c r="B30" s="8" t="n">
        <v>69</v>
      </c>
      <c r="C30" s="8" t="n">
        <v>37</v>
      </c>
      <c r="D30" s="8" t="n">
        <v>13</v>
      </c>
      <c r="E30" s="8" t="n">
        <v>9</v>
      </c>
      <c r="F30" s="8" t="n">
        <v>4</v>
      </c>
      <c r="G30" s="8" t="n">
        <v>4</v>
      </c>
      <c r="H30" s="8" t="n">
        <v>33</v>
      </c>
      <c r="I30" s="8" t="n">
        <v>18</v>
      </c>
      <c r="J30" s="8" t="n">
        <v>11</v>
      </c>
      <c r="K30" s="8" t="n">
        <v>7</v>
      </c>
      <c r="L30" s="8" t="n">
        <v>3</v>
      </c>
      <c r="M30" s="8" t="n">
        <v>3</v>
      </c>
      <c r="N30" s="8" t="n">
        <v>36</v>
      </c>
      <c r="O30" s="8" t="n">
        <v>19</v>
      </c>
      <c r="P30" s="8" t="n">
        <v>2</v>
      </c>
      <c r="Q30" s="8" t="n">
        <v>2</v>
      </c>
      <c r="R30" s="8" t="n">
        <v>1</v>
      </c>
      <c r="S30" s="8" t="n">
        <v>1</v>
      </c>
    </row>
    <row r="31" customFormat="false" ht="15" hidden="false" customHeight="true" outlineLevel="0" collapsed="false">
      <c r="A31" s="14" t="s">
        <v>83</v>
      </c>
      <c r="B31" s="8" t="n">
        <v>779</v>
      </c>
      <c r="C31" s="8" t="n">
        <v>181</v>
      </c>
      <c r="D31" s="8" t="n">
        <v>192</v>
      </c>
      <c r="E31" s="8" t="n">
        <v>77</v>
      </c>
      <c r="F31" s="8" t="n">
        <v>54</v>
      </c>
      <c r="G31" s="8" t="n">
        <v>32</v>
      </c>
      <c r="H31" s="8" t="n">
        <v>436</v>
      </c>
      <c r="I31" s="8" t="n">
        <v>109</v>
      </c>
      <c r="J31" s="8" t="n">
        <v>109</v>
      </c>
      <c r="K31" s="8" t="n">
        <v>49</v>
      </c>
      <c r="L31" s="8" t="n">
        <v>26</v>
      </c>
      <c r="M31" s="8" t="n">
        <v>19</v>
      </c>
      <c r="N31" s="8" t="n">
        <v>343</v>
      </c>
      <c r="O31" s="8" t="n">
        <v>72</v>
      </c>
      <c r="P31" s="8" t="n">
        <v>83</v>
      </c>
      <c r="Q31" s="8" t="n">
        <v>28</v>
      </c>
      <c r="R31" s="8" t="n">
        <v>28</v>
      </c>
      <c r="S31" s="8" t="n">
        <v>13</v>
      </c>
    </row>
    <row r="32" customFormat="false" ht="15" hidden="false" customHeight="true" outlineLevel="0" collapsed="false">
      <c r="A32" s="14" t="s">
        <v>138</v>
      </c>
      <c r="B32" s="8" t="n">
        <v>53</v>
      </c>
      <c r="C32" s="8" t="n">
        <v>18</v>
      </c>
      <c r="D32" s="8" t="n">
        <v>26</v>
      </c>
      <c r="E32" s="8" t="n">
        <v>10</v>
      </c>
      <c r="F32" s="8" t="n">
        <v>9</v>
      </c>
      <c r="G32" s="8" t="n">
        <v>4</v>
      </c>
      <c r="H32" s="8" t="n">
        <v>19</v>
      </c>
      <c r="I32" s="8" t="n">
        <v>9</v>
      </c>
      <c r="J32" s="8" t="n">
        <v>9</v>
      </c>
      <c r="K32" s="8" t="n">
        <v>5</v>
      </c>
      <c r="L32" s="8" t="n">
        <v>4</v>
      </c>
      <c r="M32" s="8" t="n">
        <v>2</v>
      </c>
      <c r="N32" s="8" t="n">
        <v>34</v>
      </c>
      <c r="O32" s="8" t="n">
        <v>9</v>
      </c>
      <c r="P32" s="8" t="n">
        <v>17</v>
      </c>
      <c r="Q32" s="8" t="n">
        <v>5</v>
      </c>
      <c r="R32" s="8" t="n">
        <v>5</v>
      </c>
      <c r="S32" s="8" t="n">
        <v>2</v>
      </c>
    </row>
    <row r="33" customFormat="false" ht="15" hidden="false" customHeight="true" outlineLevel="0" collapsed="false">
      <c r="A33" s="14" t="s">
        <v>139</v>
      </c>
      <c r="B33" s="8" t="n">
        <v>142</v>
      </c>
      <c r="C33" s="8" t="n">
        <v>34</v>
      </c>
      <c r="D33" s="8" t="n">
        <v>36</v>
      </c>
      <c r="E33" s="8" t="n">
        <v>20</v>
      </c>
      <c r="F33" s="8" t="n">
        <v>13</v>
      </c>
      <c r="G33" s="8" t="n">
        <v>9</v>
      </c>
      <c r="H33" s="8" t="n">
        <v>98</v>
      </c>
      <c r="I33" s="8" t="n">
        <v>22</v>
      </c>
      <c r="J33" s="8" t="n">
        <v>25</v>
      </c>
      <c r="K33" s="8" t="n">
        <v>12</v>
      </c>
      <c r="L33" s="8" t="n">
        <v>11</v>
      </c>
      <c r="M33" s="8" t="n">
        <v>7</v>
      </c>
      <c r="N33" s="8" t="n">
        <v>44</v>
      </c>
      <c r="O33" s="8" t="n">
        <v>12</v>
      </c>
      <c r="P33" s="8" t="n">
        <v>11</v>
      </c>
      <c r="Q33" s="8" t="n">
        <v>8</v>
      </c>
      <c r="R33" s="8" t="n">
        <v>2</v>
      </c>
      <c r="S33" s="8" t="n">
        <v>2</v>
      </c>
    </row>
    <row r="34" customFormat="false" ht="15" hidden="false" customHeight="true" outlineLevel="0" collapsed="false">
      <c r="A34" s="14" t="s">
        <v>140</v>
      </c>
      <c r="B34" s="8" t="n">
        <v>92</v>
      </c>
      <c r="C34" s="8" t="n">
        <v>26</v>
      </c>
      <c r="D34" s="8" t="n">
        <v>19</v>
      </c>
      <c r="E34" s="8" t="n">
        <v>9</v>
      </c>
      <c r="F34" s="8" t="n">
        <v>7</v>
      </c>
      <c r="G34" s="8" t="n">
        <v>4</v>
      </c>
      <c r="H34" s="8" t="n">
        <v>40</v>
      </c>
      <c r="I34" s="8" t="n">
        <v>9</v>
      </c>
      <c r="J34" s="8" t="n">
        <v>14</v>
      </c>
      <c r="K34" s="8" t="n">
        <v>4</v>
      </c>
      <c r="L34" s="8" t="n">
        <v>6</v>
      </c>
      <c r="M34" s="8" t="n">
        <v>3</v>
      </c>
      <c r="N34" s="8" t="n">
        <v>52</v>
      </c>
      <c r="O34" s="8" t="n">
        <v>17</v>
      </c>
      <c r="P34" s="8" t="n">
        <v>5</v>
      </c>
      <c r="Q34" s="8" t="n">
        <v>5</v>
      </c>
      <c r="R34" s="8" t="n">
        <v>1</v>
      </c>
      <c r="S34" s="8" t="n">
        <v>1</v>
      </c>
    </row>
    <row r="35" customFormat="false" ht="15" hidden="false" customHeight="true" outlineLevel="0" collapsed="false">
      <c r="A35" s="14" t="s">
        <v>71</v>
      </c>
      <c r="B35" s="8" t="n">
        <v>428</v>
      </c>
      <c r="C35" s="8" t="n">
        <v>142</v>
      </c>
      <c r="D35" s="8" t="n">
        <v>62</v>
      </c>
      <c r="E35" s="8" t="n">
        <v>42</v>
      </c>
      <c r="F35" s="8" t="n">
        <v>21</v>
      </c>
      <c r="G35" s="8" t="n">
        <v>17</v>
      </c>
      <c r="H35" s="8" t="n">
        <v>227</v>
      </c>
      <c r="I35" s="8" t="n">
        <v>97</v>
      </c>
      <c r="J35" s="8" t="n">
        <v>39</v>
      </c>
      <c r="K35" s="8" t="n">
        <v>30</v>
      </c>
      <c r="L35" s="8" t="n">
        <v>12</v>
      </c>
      <c r="M35" s="8" t="n">
        <v>11</v>
      </c>
      <c r="N35" s="8" t="n">
        <v>201</v>
      </c>
      <c r="O35" s="8" t="n">
        <v>45</v>
      </c>
      <c r="P35" s="8" t="n">
        <v>23</v>
      </c>
      <c r="Q35" s="8" t="n">
        <v>12</v>
      </c>
      <c r="R35" s="8" t="n">
        <v>9</v>
      </c>
      <c r="S35" s="8" t="n">
        <v>6</v>
      </c>
    </row>
    <row r="36" customFormat="false" ht="15" hidden="false" customHeight="true" outlineLevel="0" collapsed="false">
      <c r="A36" s="14" t="s">
        <v>142</v>
      </c>
      <c r="B36" s="8" t="n">
        <v>86</v>
      </c>
      <c r="C36" s="8" t="n">
        <v>30</v>
      </c>
      <c r="D36" s="8" t="n">
        <v>10</v>
      </c>
      <c r="E36" s="8" t="n">
        <v>9</v>
      </c>
      <c r="F36" s="8" t="n">
        <v>5</v>
      </c>
      <c r="G36" s="8" t="n">
        <v>5</v>
      </c>
      <c r="H36" s="8" t="n">
        <v>50</v>
      </c>
      <c r="I36" s="8" t="n">
        <v>19</v>
      </c>
      <c r="J36" s="8" t="n">
        <v>8</v>
      </c>
      <c r="K36" s="8" t="n">
        <v>7</v>
      </c>
      <c r="L36" s="8" t="n">
        <v>5</v>
      </c>
      <c r="M36" s="8" t="n">
        <v>5</v>
      </c>
      <c r="N36" s="8" t="n">
        <v>36</v>
      </c>
      <c r="O36" s="8" t="n">
        <v>11</v>
      </c>
      <c r="P36" s="8" t="n">
        <v>2</v>
      </c>
      <c r="Q36" s="8" t="n">
        <v>2</v>
      </c>
      <c r="R36" s="8" t="n">
        <v>0</v>
      </c>
      <c r="S36" s="8" t="n">
        <v>0</v>
      </c>
    </row>
    <row r="37" customFormat="false" ht="15" hidden="false" customHeight="true" outlineLevel="0" collapsed="false">
      <c r="A37" s="14" t="s">
        <v>143</v>
      </c>
      <c r="B37" s="8" t="n">
        <v>150</v>
      </c>
      <c r="C37" s="8" t="n">
        <v>55</v>
      </c>
      <c r="D37" s="8" t="n">
        <v>32</v>
      </c>
      <c r="E37" s="8" t="n">
        <v>15</v>
      </c>
      <c r="F37" s="8" t="n">
        <v>10</v>
      </c>
      <c r="G37" s="8" t="n">
        <v>7</v>
      </c>
      <c r="H37" s="8" t="n">
        <v>115</v>
      </c>
      <c r="I37" s="8" t="n">
        <v>40</v>
      </c>
      <c r="J37" s="8" t="n">
        <v>28</v>
      </c>
      <c r="K37" s="8" t="n">
        <v>12</v>
      </c>
      <c r="L37" s="8" t="n">
        <v>9</v>
      </c>
      <c r="M37" s="8" t="n">
        <v>6</v>
      </c>
      <c r="N37" s="8" t="n">
        <v>35</v>
      </c>
      <c r="O37" s="8" t="n">
        <v>15</v>
      </c>
      <c r="P37" s="8" t="n">
        <v>4</v>
      </c>
      <c r="Q37" s="8" t="n">
        <v>3</v>
      </c>
      <c r="R37" s="8" t="n">
        <v>1</v>
      </c>
      <c r="S37" s="8" t="n">
        <v>1</v>
      </c>
    </row>
    <row r="38" customFormat="false" ht="15" hidden="false" customHeight="true" outlineLevel="0" collapsed="false">
      <c r="A38" s="14" t="s">
        <v>84</v>
      </c>
      <c r="B38" s="8" t="n">
        <v>1030</v>
      </c>
      <c r="C38" s="8" t="n">
        <v>404</v>
      </c>
      <c r="D38" s="8" t="n">
        <v>188</v>
      </c>
      <c r="E38" s="8" t="n">
        <v>135</v>
      </c>
      <c r="F38" s="8" t="n">
        <v>78</v>
      </c>
      <c r="G38" s="8" t="n">
        <v>67</v>
      </c>
      <c r="H38" s="8" t="n">
        <v>616</v>
      </c>
      <c r="I38" s="8" t="n">
        <v>255</v>
      </c>
      <c r="J38" s="8" t="n">
        <v>122</v>
      </c>
      <c r="K38" s="8" t="n">
        <v>84</v>
      </c>
      <c r="L38" s="8" t="n">
        <v>53</v>
      </c>
      <c r="M38" s="8" t="n">
        <v>43</v>
      </c>
      <c r="N38" s="8" t="n">
        <v>414</v>
      </c>
      <c r="O38" s="8" t="n">
        <v>149</v>
      </c>
      <c r="P38" s="8" t="n">
        <v>66</v>
      </c>
      <c r="Q38" s="8" t="n">
        <v>51</v>
      </c>
      <c r="R38" s="8" t="n">
        <v>25</v>
      </c>
      <c r="S38" s="8" t="n">
        <v>24</v>
      </c>
    </row>
    <row r="39" customFormat="false" ht="15" hidden="false" customHeight="true" outlineLevel="0" collapsed="false">
      <c r="A39" s="14" t="s">
        <v>145</v>
      </c>
      <c r="B39" s="8" t="n">
        <v>795</v>
      </c>
      <c r="C39" s="8" t="n">
        <v>178</v>
      </c>
      <c r="D39" s="8" t="n">
        <v>268</v>
      </c>
      <c r="E39" s="8" t="n">
        <v>96</v>
      </c>
      <c r="F39" s="8" t="n">
        <v>106</v>
      </c>
      <c r="G39" s="8" t="n">
        <v>47</v>
      </c>
      <c r="H39" s="8" t="n">
        <v>448</v>
      </c>
      <c r="I39" s="8" t="n">
        <v>104</v>
      </c>
      <c r="J39" s="8" t="n">
        <v>160</v>
      </c>
      <c r="K39" s="8" t="n">
        <v>54</v>
      </c>
      <c r="L39" s="8" t="n">
        <v>65</v>
      </c>
      <c r="M39" s="8" t="n">
        <v>24</v>
      </c>
      <c r="N39" s="8" t="n">
        <v>347</v>
      </c>
      <c r="O39" s="8" t="n">
        <v>74</v>
      </c>
      <c r="P39" s="8" t="n">
        <v>108</v>
      </c>
      <c r="Q39" s="8" t="n">
        <v>42</v>
      </c>
      <c r="R39" s="8" t="n">
        <v>41</v>
      </c>
      <c r="S39" s="8" t="n">
        <v>23</v>
      </c>
    </row>
    <row r="40" customFormat="false" ht="15" hidden="false" customHeight="true" outlineLevel="0" collapsed="false">
      <c r="A40" s="14" t="s">
        <v>147</v>
      </c>
      <c r="B40" s="8" t="n">
        <v>193</v>
      </c>
      <c r="C40" s="8" t="n">
        <v>83</v>
      </c>
      <c r="D40" s="8" t="n">
        <v>44</v>
      </c>
      <c r="E40" s="8" t="n">
        <v>35</v>
      </c>
      <c r="F40" s="8" t="n">
        <v>17</v>
      </c>
      <c r="G40" s="8" t="n">
        <v>14</v>
      </c>
      <c r="H40" s="8" t="n">
        <v>108</v>
      </c>
      <c r="I40" s="8" t="n">
        <v>46</v>
      </c>
      <c r="J40" s="8" t="n">
        <v>27</v>
      </c>
      <c r="K40" s="8" t="n">
        <v>21</v>
      </c>
      <c r="L40" s="8" t="n">
        <v>12</v>
      </c>
      <c r="M40" s="8" t="n">
        <v>10</v>
      </c>
      <c r="N40" s="8" t="n">
        <v>85</v>
      </c>
      <c r="O40" s="8" t="n">
        <v>37</v>
      </c>
      <c r="P40" s="8" t="n">
        <v>17</v>
      </c>
      <c r="Q40" s="8" t="n">
        <v>14</v>
      </c>
      <c r="R40" s="8" t="n">
        <v>5</v>
      </c>
      <c r="S40" s="8" t="n">
        <v>4</v>
      </c>
    </row>
    <row r="41" customFormat="false" ht="15" hidden="false" customHeight="true" outlineLevel="0" collapsed="false">
      <c r="A41" s="14" t="s">
        <v>148</v>
      </c>
      <c r="B41" s="8" t="n">
        <v>304</v>
      </c>
      <c r="C41" s="8" t="n">
        <v>92</v>
      </c>
      <c r="D41" s="8" t="n">
        <v>49</v>
      </c>
      <c r="E41" s="8" t="n">
        <v>23</v>
      </c>
      <c r="F41" s="8" t="n">
        <v>15</v>
      </c>
      <c r="G41" s="8" t="n">
        <v>11</v>
      </c>
      <c r="H41" s="8" t="n">
        <v>168</v>
      </c>
      <c r="I41" s="8" t="n">
        <v>42</v>
      </c>
      <c r="J41" s="8" t="n">
        <v>33</v>
      </c>
      <c r="K41" s="8" t="n">
        <v>10</v>
      </c>
      <c r="L41" s="8" t="n">
        <v>11</v>
      </c>
      <c r="M41" s="8" t="n">
        <v>8</v>
      </c>
      <c r="N41" s="8" t="n">
        <v>136</v>
      </c>
      <c r="O41" s="8" t="n">
        <v>50</v>
      </c>
      <c r="P41" s="8" t="n">
        <v>16</v>
      </c>
      <c r="Q41" s="8" t="n">
        <v>13</v>
      </c>
      <c r="R41" s="8" t="n">
        <v>4</v>
      </c>
      <c r="S41" s="8" t="n">
        <v>3</v>
      </c>
    </row>
    <row r="42" customFormat="false" ht="15" hidden="false" customHeight="true" outlineLevel="0" collapsed="false">
      <c r="A42" s="14" t="s">
        <v>85</v>
      </c>
      <c r="B42" s="8" t="n">
        <v>607</v>
      </c>
      <c r="C42" s="8" t="n">
        <v>196</v>
      </c>
      <c r="D42" s="8" t="n">
        <v>95</v>
      </c>
      <c r="E42" s="8" t="n">
        <v>50</v>
      </c>
      <c r="F42" s="8" t="n">
        <v>25</v>
      </c>
      <c r="G42" s="8" t="n">
        <v>20</v>
      </c>
      <c r="H42" s="8" t="n">
        <v>366</v>
      </c>
      <c r="I42" s="8" t="n">
        <v>126</v>
      </c>
      <c r="J42" s="8" t="n">
        <v>56</v>
      </c>
      <c r="K42" s="8" t="n">
        <v>32</v>
      </c>
      <c r="L42" s="8" t="n">
        <v>18</v>
      </c>
      <c r="M42" s="8" t="n">
        <v>14</v>
      </c>
      <c r="N42" s="8" t="n">
        <v>241</v>
      </c>
      <c r="O42" s="8" t="n">
        <v>70</v>
      </c>
      <c r="P42" s="8" t="n">
        <v>39</v>
      </c>
      <c r="Q42" s="8" t="n">
        <v>18</v>
      </c>
      <c r="R42" s="8" t="n">
        <v>7</v>
      </c>
      <c r="S42" s="8" t="n">
        <v>6</v>
      </c>
    </row>
    <row r="43" customFormat="false" ht="15" hidden="false" customHeight="true" outlineLevel="0" collapsed="false">
      <c r="A43" s="14" t="s">
        <v>149</v>
      </c>
      <c r="B43" s="8" t="n">
        <v>77</v>
      </c>
      <c r="C43" s="8" t="n">
        <v>19</v>
      </c>
      <c r="D43" s="8" t="n">
        <v>11</v>
      </c>
      <c r="E43" s="8" t="n">
        <v>6</v>
      </c>
      <c r="F43" s="8" t="n">
        <v>4</v>
      </c>
      <c r="G43" s="8" t="n">
        <v>4</v>
      </c>
      <c r="H43" s="8" t="n">
        <v>43</v>
      </c>
      <c r="I43" s="8" t="n">
        <v>12</v>
      </c>
      <c r="J43" s="8" t="n">
        <v>6</v>
      </c>
      <c r="K43" s="8" t="n">
        <v>3</v>
      </c>
      <c r="L43" s="8" t="n">
        <v>1</v>
      </c>
      <c r="M43" s="8" t="n">
        <v>1</v>
      </c>
      <c r="N43" s="8" t="n">
        <v>34</v>
      </c>
      <c r="O43" s="8" t="n">
        <v>7</v>
      </c>
      <c r="P43" s="8" t="n">
        <v>5</v>
      </c>
      <c r="Q43" s="8" t="n">
        <v>3</v>
      </c>
      <c r="R43" s="8" t="n">
        <v>3</v>
      </c>
      <c r="S43" s="8" t="n">
        <v>3</v>
      </c>
    </row>
    <row r="44" customFormat="false" ht="15" hidden="false" customHeight="true" outlineLevel="0" collapsed="false">
      <c r="A44" s="14" t="s">
        <v>86</v>
      </c>
      <c r="B44" s="8" t="n">
        <v>364</v>
      </c>
      <c r="C44" s="8" t="n">
        <v>97</v>
      </c>
      <c r="D44" s="8" t="n">
        <v>98</v>
      </c>
      <c r="E44" s="8" t="n">
        <v>42</v>
      </c>
      <c r="F44" s="8" t="n">
        <v>24</v>
      </c>
      <c r="G44" s="8" t="n">
        <v>15</v>
      </c>
      <c r="H44" s="8" t="n">
        <v>207</v>
      </c>
      <c r="I44" s="8" t="n">
        <v>68</v>
      </c>
      <c r="J44" s="8" t="n">
        <v>58</v>
      </c>
      <c r="K44" s="8" t="n">
        <v>30</v>
      </c>
      <c r="L44" s="8" t="n">
        <v>17</v>
      </c>
      <c r="M44" s="8" t="n">
        <v>10</v>
      </c>
      <c r="N44" s="8" t="n">
        <v>157</v>
      </c>
      <c r="O44" s="8" t="n">
        <v>29</v>
      </c>
      <c r="P44" s="8" t="n">
        <v>40</v>
      </c>
      <c r="Q44" s="8" t="n">
        <v>12</v>
      </c>
      <c r="R44" s="8" t="n">
        <v>7</v>
      </c>
      <c r="S44" s="8" t="n">
        <v>5</v>
      </c>
    </row>
    <row r="45" customFormat="false" ht="15" hidden="false" customHeight="true" outlineLevel="0" collapsed="false">
      <c r="A45" s="14" t="s">
        <v>151</v>
      </c>
      <c r="B45" s="8" t="n">
        <v>74</v>
      </c>
      <c r="C45" s="8" t="n">
        <v>19</v>
      </c>
      <c r="D45" s="8" t="n">
        <v>33</v>
      </c>
      <c r="E45" s="8" t="n">
        <v>10</v>
      </c>
      <c r="F45" s="8" t="n">
        <v>16</v>
      </c>
      <c r="G45" s="8" t="n">
        <v>5</v>
      </c>
      <c r="H45" s="8" t="n">
        <v>20</v>
      </c>
      <c r="I45" s="8" t="n">
        <v>9</v>
      </c>
      <c r="J45" s="8" t="n">
        <v>6</v>
      </c>
      <c r="K45" s="8" t="n">
        <v>3</v>
      </c>
      <c r="L45" s="8" t="n">
        <v>3</v>
      </c>
      <c r="M45" s="8" t="n">
        <v>1</v>
      </c>
      <c r="N45" s="8" t="n">
        <v>54</v>
      </c>
      <c r="O45" s="8" t="n">
        <v>10</v>
      </c>
      <c r="P45" s="8" t="n">
        <v>27</v>
      </c>
      <c r="Q45" s="8" t="n">
        <v>7</v>
      </c>
      <c r="R45" s="8" t="n">
        <v>13</v>
      </c>
      <c r="S45" s="8" t="n">
        <v>4</v>
      </c>
    </row>
    <row r="46" customFormat="false" ht="15" hidden="false" customHeight="true" outlineLevel="0" collapsed="false">
      <c r="A46" s="14" t="s">
        <v>152</v>
      </c>
      <c r="B46" s="8" t="n">
        <v>401</v>
      </c>
      <c r="C46" s="8" t="n">
        <v>124</v>
      </c>
      <c r="D46" s="8" t="n">
        <v>110</v>
      </c>
      <c r="E46" s="8" t="n">
        <v>58</v>
      </c>
      <c r="F46" s="8" t="n">
        <v>36</v>
      </c>
      <c r="G46" s="8" t="n">
        <v>23</v>
      </c>
      <c r="H46" s="8" t="n">
        <v>242</v>
      </c>
      <c r="I46" s="8" t="n">
        <v>80</v>
      </c>
      <c r="J46" s="8" t="n">
        <v>72</v>
      </c>
      <c r="K46" s="8" t="n">
        <v>38</v>
      </c>
      <c r="L46" s="8" t="n">
        <v>26</v>
      </c>
      <c r="M46" s="8" t="n">
        <v>17</v>
      </c>
      <c r="N46" s="8" t="n">
        <v>159</v>
      </c>
      <c r="O46" s="8" t="n">
        <v>44</v>
      </c>
      <c r="P46" s="8" t="n">
        <v>38</v>
      </c>
      <c r="Q46" s="8" t="n">
        <v>20</v>
      </c>
      <c r="R46" s="8" t="n">
        <v>10</v>
      </c>
      <c r="S46" s="8" t="n">
        <v>6</v>
      </c>
    </row>
    <row r="47" customFormat="false" ht="15" hidden="false" customHeight="true" outlineLevel="0" collapsed="false">
      <c r="A47" s="14" t="s">
        <v>62</v>
      </c>
      <c r="B47" s="8" t="n">
        <v>1660</v>
      </c>
      <c r="C47" s="8" t="n">
        <v>540</v>
      </c>
      <c r="D47" s="8" t="n">
        <v>473</v>
      </c>
      <c r="E47" s="8" t="n">
        <v>230</v>
      </c>
      <c r="F47" s="8" t="n">
        <v>179</v>
      </c>
      <c r="G47" s="8" t="n">
        <v>121</v>
      </c>
      <c r="H47" s="8" t="n">
        <v>1075</v>
      </c>
      <c r="I47" s="8" t="n">
        <v>413</v>
      </c>
      <c r="J47" s="8" t="n">
        <v>342</v>
      </c>
      <c r="K47" s="8" t="n">
        <v>186</v>
      </c>
      <c r="L47" s="8" t="n">
        <v>130</v>
      </c>
      <c r="M47" s="8" t="n">
        <v>97</v>
      </c>
      <c r="N47" s="8" t="n">
        <v>585</v>
      </c>
      <c r="O47" s="8" t="n">
        <v>127</v>
      </c>
      <c r="P47" s="8" t="n">
        <v>131</v>
      </c>
      <c r="Q47" s="8" t="n">
        <v>44</v>
      </c>
      <c r="R47" s="8" t="n">
        <v>49</v>
      </c>
      <c r="S47" s="8" t="n">
        <v>24</v>
      </c>
    </row>
    <row r="48" customFormat="false" ht="15" hidden="false" customHeight="true" outlineLevel="0" collapsed="false">
      <c r="A48" s="14" t="s">
        <v>155</v>
      </c>
      <c r="B48" s="8" t="n">
        <v>198</v>
      </c>
      <c r="C48" s="8" t="n">
        <v>78</v>
      </c>
      <c r="D48" s="8" t="n">
        <v>74</v>
      </c>
      <c r="E48" s="8" t="n">
        <v>33</v>
      </c>
      <c r="F48" s="8" t="n">
        <v>31</v>
      </c>
      <c r="G48" s="8" t="n">
        <v>19</v>
      </c>
      <c r="H48" s="8" t="n">
        <v>143</v>
      </c>
      <c r="I48" s="8" t="n">
        <v>49</v>
      </c>
      <c r="J48" s="8" t="n">
        <v>61</v>
      </c>
      <c r="K48" s="8" t="n">
        <v>23</v>
      </c>
      <c r="L48" s="8" t="n">
        <v>27</v>
      </c>
      <c r="M48" s="8" t="n">
        <v>15</v>
      </c>
      <c r="N48" s="8" t="n">
        <v>55</v>
      </c>
      <c r="O48" s="8" t="n">
        <v>29</v>
      </c>
      <c r="P48" s="8" t="n">
        <v>13</v>
      </c>
      <c r="Q48" s="8" t="n">
        <v>10</v>
      </c>
      <c r="R48" s="8" t="n">
        <v>4</v>
      </c>
      <c r="S48" s="8" t="n">
        <v>4</v>
      </c>
    </row>
    <row r="49" customFormat="false" ht="15" hidden="false" customHeight="true" outlineLevel="0" collapsed="false">
      <c r="A49" s="14" t="s">
        <v>156</v>
      </c>
      <c r="B49" s="8" t="n">
        <v>478</v>
      </c>
      <c r="C49" s="8" t="n">
        <v>137</v>
      </c>
      <c r="D49" s="8" t="n">
        <v>105</v>
      </c>
      <c r="E49" s="8" t="n">
        <v>49</v>
      </c>
      <c r="F49" s="8" t="n">
        <v>36</v>
      </c>
      <c r="G49" s="8" t="n">
        <v>23</v>
      </c>
      <c r="H49" s="8" t="n">
        <v>237</v>
      </c>
      <c r="I49" s="8" t="n">
        <v>88</v>
      </c>
      <c r="J49" s="8" t="n">
        <v>76</v>
      </c>
      <c r="K49" s="8" t="n">
        <v>37</v>
      </c>
      <c r="L49" s="8" t="n">
        <v>23</v>
      </c>
      <c r="M49" s="8" t="n">
        <v>15</v>
      </c>
      <c r="N49" s="8" t="n">
        <v>241</v>
      </c>
      <c r="O49" s="8" t="n">
        <v>49</v>
      </c>
      <c r="P49" s="8" t="n">
        <v>29</v>
      </c>
      <c r="Q49" s="8" t="n">
        <v>12</v>
      </c>
      <c r="R49" s="8" t="n">
        <v>13</v>
      </c>
      <c r="S49" s="8" t="n">
        <v>8</v>
      </c>
    </row>
    <row r="50" customFormat="false" ht="15" hidden="false" customHeight="true" outlineLevel="0" collapsed="false">
      <c r="A50" s="14" t="s">
        <v>158</v>
      </c>
      <c r="B50" s="8" t="n">
        <v>32</v>
      </c>
      <c r="C50" s="8" t="n">
        <v>17</v>
      </c>
      <c r="D50" s="8" t="n">
        <v>6</v>
      </c>
      <c r="E50" s="8" t="n">
        <v>5</v>
      </c>
      <c r="F50" s="8" t="n">
        <v>4</v>
      </c>
      <c r="G50" s="8" t="n">
        <v>3</v>
      </c>
      <c r="H50" s="8" t="n">
        <v>13</v>
      </c>
      <c r="I50" s="8" t="n">
        <v>7</v>
      </c>
      <c r="J50" s="8" t="n">
        <v>1</v>
      </c>
      <c r="K50" s="8" t="n">
        <v>1</v>
      </c>
      <c r="L50" s="8" t="n">
        <v>0</v>
      </c>
      <c r="M50" s="8" t="n">
        <v>0</v>
      </c>
      <c r="N50" s="8" t="n">
        <v>19</v>
      </c>
      <c r="O50" s="8" t="n">
        <v>10</v>
      </c>
      <c r="P50" s="8" t="n">
        <v>5</v>
      </c>
      <c r="Q50" s="8" t="n">
        <v>4</v>
      </c>
      <c r="R50" s="8" t="n">
        <v>4</v>
      </c>
      <c r="S50" s="8" t="n">
        <v>3</v>
      </c>
    </row>
    <row r="51" customFormat="false" ht="15" hidden="false" customHeight="true" outlineLevel="0" collapsed="false">
      <c r="A51" s="14" t="s">
        <v>159</v>
      </c>
      <c r="B51" s="8" t="n">
        <v>380</v>
      </c>
      <c r="C51" s="8" t="n">
        <v>108</v>
      </c>
      <c r="D51" s="8" t="n">
        <v>70</v>
      </c>
      <c r="E51" s="8" t="n">
        <v>42</v>
      </c>
      <c r="F51" s="8" t="n">
        <v>19</v>
      </c>
      <c r="G51" s="8" t="n">
        <v>16</v>
      </c>
      <c r="H51" s="8" t="n">
        <v>146</v>
      </c>
      <c r="I51" s="8" t="n">
        <v>54</v>
      </c>
      <c r="J51" s="8" t="n">
        <v>32</v>
      </c>
      <c r="K51" s="8" t="n">
        <v>21</v>
      </c>
      <c r="L51" s="8" t="n">
        <v>11</v>
      </c>
      <c r="M51" s="8" t="n">
        <v>9</v>
      </c>
      <c r="N51" s="8" t="n">
        <v>234</v>
      </c>
      <c r="O51" s="8" t="n">
        <v>54</v>
      </c>
      <c r="P51" s="8" t="n">
        <v>38</v>
      </c>
      <c r="Q51" s="8" t="n">
        <v>21</v>
      </c>
      <c r="R51" s="8" t="n">
        <v>8</v>
      </c>
      <c r="S51" s="8" t="n">
        <v>7</v>
      </c>
    </row>
    <row r="52" customFormat="false" ht="15" hidden="false" customHeight="true" outlineLevel="0" collapsed="false">
      <c r="A52" s="14" t="s">
        <v>160</v>
      </c>
      <c r="B52" s="8" t="n">
        <v>363</v>
      </c>
      <c r="C52" s="8" t="n">
        <v>83</v>
      </c>
      <c r="D52" s="8" t="n">
        <v>107</v>
      </c>
      <c r="E52" s="8" t="n">
        <v>38</v>
      </c>
      <c r="F52" s="8" t="n">
        <v>33</v>
      </c>
      <c r="G52" s="8" t="n">
        <v>23</v>
      </c>
      <c r="H52" s="8" t="n">
        <v>170</v>
      </c>
      <c r="I52" s="8" t="n">
        <v>43</v>
      </c>
      <c r="J52" s="8" t="n">
        <v>67</v>
      </c>
      <c r="K52" s="8" t="n">
        <v>25</v>
      </c>
      <c r="L52" s="8" t="n">
        <v>23</v>
      </c>
      <c r="M52" s="8" t="n">
        <v>14</v>
      </c>
      <c r="N52" s="8" t="n">
        <v>193</v>
      </c>
      <c r="O52" s="8" t="n">
        <v>40</v>
      </c>
      <c r="P52" s="8" t="n">
        <v>40</v>
      </c>
      <c r="Q52" s="8" t="n">
        <v>13</v>
      </c>
      <c r="R52" s="8" t="n">
        <v>10</v>
      </c>
      <c r="S52" s="8" t="n">
        <v>9</v>
      </c>
    </row>
    <row r="53" customFormat="false" ht="15" hidden="false" customHeight="true" outlineLevel="0" collapsed="false">
      <c r="A53" s="14" t="s">
        <v>161</v>
      </c>
      <c r="B53" s="8" t="n">
        <v>107</v>
      </c>
      <c r="C53" s="8" t="n">
        <v>41</v>
      </c>
      <c r="D53" s="8" t="n">
        <v>33</v>
      </c>
      <c r="E53" s="8" t="n">
        <v>23</v>
      </c>
      <c r="F53" s="8" t="n">
        <v>12</v>
      </c>
      <c r="G53" s="8" t="n">
        <v>11</v>
      </c>
      <c r="H53" s="8" t="n">
        <v>38</v>
      </c>
      <c r="I53" s="8" t="n">
        <v>19</v>
      </c>
      <c r="J53" s="8" t="n">
        <v>19</v>
      </c>
      <c r="K53" s="8" t="n">
        <v>14</v>
      </c>
      <c r="L53" s="8" t="n">
        <v>10</v>
      </c>
      <c r="M53" s="8" t="n">
        <v>9</v>
      </c>
      <c r="N53" s="8" t="n">
        <v>69</v>
      </c>
      <c r="O53" s="8" t="n">
        <v>22</v>
      </c>
      <c r="P53" s="8" t="n">
        <v>14</v>
      </c>
      <c r="Q53" s="8" t="n">
        <v>9</v>
      </c>
      <c r="R53" s="8" t="n">
        <v>2</v>
      </c>
      <c r="S53" s="8" t="n">
        <v>2</v>
      </c>
    </row>
    <row r="54" customFormat="false" ht="15" hidden="false" customHeight="true" outlineLevel="0" collapsed="false">
      <c r="A54" s="14" t="s">
        <v>162</v>
      </c>
      <c r="B54" s="8" t="n">
        <v>39</v>
      </c>
      <c r="C54" s="8" t="n">
        <v>23</v>
      </c>
      <c r="D54" s="8" t="n">
        <v>7</v>
      </c>
      <c r="E54" s="8" t="n">
        <v>5</v>
      </c>
      <c r="F54" s="8" t="n">
        <v>0</v>
      </c>
      <c r="G54" s="8" t="n">
        <v>0</v>
      </c>
      <c r="H54" s="8" t="n">
        <v>17</v>
      </c>
      <c r="I54" s="8" t="n">
        <v>10</v>
      </c>
      <c r="J54" s="8" t="n">
        <v>5</v>
      </c>
      <c r="K54" s="8" t="n">
        <v>3</v>
      </c>
      <c r="L54" s="8" t="n">
        <v>0</v>
      </c>
      <c r="M54" s="8" t="n">
        <v>0</v>
      </c>
      <c r="N54" s="8" t="n">
        <v>22</v>
      </c>
      <c r="O54" s="8" t="n">
        <v>13</v>
      </c>
      <c r="P54" s="8" t="n">
        <v>2</v>
      </c>
      <c r="Q54" s="8" t="n">
        <v>2</v>
      </c>
      <c r="R54" s="8" t="n">
        <v>0</v>
      </c>
      <c r="S54" s="8" t="n">
        <v>0</v>
      </c>
    </row>
    <row r="55" customFormat="false" ht="15" hidden="false" customHeight="true" outlineLevel="0" collapsed="false">
      <c r="A55" s="17" t="s">
        <v>74</v>
      </c>
      <c r="B55" s="18" t="n">
        <f aca="false">SUM(B4:B54)</f>
        <v>18405</v>
      </c>
      <c r="C55" s="18" t="n">
        <f aca="false">SUM(C4:C54)</f>
        <v>5862</v>
      </c>
      <c r="D55" s="18" t="n">
        <f aca="false">SUM(D4:D54)</f>
        <v>4401</v>
      </c>
      <c r="E55" s="18" t="n">
        <f aca="false">SUM(E4:E54)</f>
        <v>2188</v>
      </c>
      <c r="F55" s="18" t="n">
        <f aca="false">SUM(F4:F54)</f>
        <v>1476</v>
      </c>
      <c r="G55" s="18" t="n">
        <f aca="false">SUM(G4:G54)</f>
        <v>1005</v>
      </c>
      <c r="H55" s="18" t="n">
        <f aca="false">SUM(H4:H54)</f>
        <v>10775</v>
      </c>
      <c r="I55" s="18" t="n">
        <f aca="false">SUM(I4:I54)</f>
        <v>3647</v>
      </c>
      <c r="J55" s="18" t="n">
        <f aca="false">SUM(J4:J54)</f>
        <v>2883</v>
      </c>
      <c r="K55" s="18" t="n">
        <f aca="false">SUM(K4:K54)</f>
        <v>1419</v>
      </c>
      <c r="L55" s="18" t="n">
        <f aca="false">SUM(L4:L54)</f>
        <v>1002</v>
      </c>
      <c r="M55" s="18" t="n">
        <f aca="false">SUM(M4:M54)</f>
        <v>672</v>
      </c>
      <c r="N55" s="18" t="n">
        <f aca="false">SUM(N4:N54)</f>
        <v>7630</v>
      </c>
      <c r="O55" s="18" t="n">
        <f aca="false">SUM(O4:O54)</f>
        <v>2215</v>
      </c>
      <c r="P55" s="18" t="n">
        <f aca="false">SUM(P4:P54)</f>
        <v>1518</v>
      </c>
      <c r="Q55" s="18" t="n">
        <f aca="false">SUM(Q4:Q54)</f>
        <v>769</v>
      </c>
      <c r="R55" s="18" t="n">
        <f aca="false">SUM(R4:R54)</f>
        <v>474</v>
      </c>
      <c r="S55" s="18" t="n">
        <f aca="false">SUM(S4:S54)</f>
        <v>333</v>
      </c>
    </row>
  </sheetData>
  <mergeCells count="4">
    <mergeCell ref="A1:S1"/>
    <mergeCell ref="B2:G2"/>
    <mergeCell ref="H2:M2"/>
    <mergeCell ref="N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2026-07-21T18:40:33Z</dcterms:created>
  <dc:creator>openpyxl</dc:creator>
  <dc:description/>
  <dc:language>en-US</dc:language>
  <cp:lastModifiedBy/>
  <dcterms:modified xsi:type="dcterms:W3CDTF">2026-07-23T15:57:30Z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