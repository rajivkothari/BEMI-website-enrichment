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<sst xmlns="http://schemas.openxmlformats.org/spreadsheetml/2006/main" count="295" uniqueCount="213">
  <si>
    <t xml:space="preserve">FemaSeed U.S. Territory Plan — v1 (Workload-Based Model)</t>
  </si>
  <si>
    <t xml:space="preserve">THE HEADLINE: 28 reps is the right size — the data confirms it.</t>
  </si>
  <si>
    <t xml:space="preserve">Target universe = prescribers with ovulation-induction volume &gt;=5 (demonstrated repeat fertility behavior): 8,757 HCPs. At 28 reps that is 313 target HCPs per rep — inside the 275-325 workload band — and ~78 priority (&gt;=10) clinics per rep, inside the 65-80 band. Two independent workload axes both land in band at exactly 28. The workload-based method and the 28-territory ask agree.</t>
  </si>
  <si>
    <t xml:space="preserve">TIERS: T1 = vol &gt;=20 (1,476 HCPs) | T2 = 10-19 (2,925) | T3 = 5-9 (4,356). Field plan built on T1-T3.</t>
  </si>
  <si>
    <t xml:space="preserve">DECISIONS LOCKED IN THIS VERSION (all adjustable):</t>
  </si>
  <si>
    <t xml:space="preserve">1. Universe: &gt;=5 volume. Scenario tab shows implied org size at other cuts.</t>
  </si>
  <si>
    <t xml:space="preserve">2. Building block: STATE. Multi-rep states (TX 3, CA 2) carry the split internally; drawing metro boundaries inside a state requires clinic addresses (see Phase 2). No geography invented.</t>
  </si>
  <si>
    <t xml:space="preserve">3. Classification: locked v3 (clinic/physicians/associates removed; UWH routed academic). Every number reconciles to the approved Data Request waterfall: ALL 18,406 | &gt;=10 4,401 | Private &gt;=10 2,883 — exact matches. Puerto Rico excluded (matches Data Request universe).</t>
  </si>
  <si>
    <t xml:space="preserve">4. Scoring weights (from the methodology thread): Target HCPs 40% / Clinics 25% / Fertility volume 15% / Women 25-39 10% / Income 5% / Education 5%. The three demographic components (20%) require the national ZIP census files, which are not yet appended — weights renormalized to HCPs 50% / Clinics 31.25% / Volume 18.75% for v1. Demographic slot is built; append shifts scores, not structure.</t>
  </si>
  <si>
    <t xml:space="preserve">VALIDATION vs the prior analysis (six pilot states, patients/HCPs):</t>
  </si>
  <si>
    <t xml:space="preserve">FL 6,638/1,107 (theirs 6,623/1,106) | NC 5,649/779 (5,651/781) | GA 5,391/683 (5,366/682) | TN 3,269/401 (3,278/402) | SC 2,825/364 (2,874/378) | AL 2,501/294 (2,508/297) — matches within ~1%.</t>
  </si>
  <si>
    <t xml:space="preserve">Their 18,652 rows vs our 18,522: minor filter delta in source versions; six-state agreement confirms same underlying data.</t>
  </si>
  <si>
    <t xml:space="preserve">HOW TO USE: On 'Territory Plan', the Reps column (blue) is adjustable. Per-rep loads and band flags recalculate live. Four single-state territories (OH, MI, FL, NY) run over-band and are the first candidates for a split or added rep once addresses enable intra-state boundaries.</t>
  </si>
  <si>
    <t xml:space="preserve">SOURCE-FILE RECONCILIATION (verified against Megan's July file directly):</t>
  </si>
  <si>
    <t xml:space="preserve">18,652 total rows = 130 records with no practice identity (cannot be assigned to a clinic or classified; excluded) + 116 Puerto Rico rows (outside the Data Request universe) + 18,406 workable records. All 18,522 non-null NPIs carry identical volumes in both file versions (0 discrepancies).</t>
  </si>
  <si>
    <t xml:space="preserve">WORKLOAD-BAND VERIFICATION AT 28 REPS (targets from the methodology thread):</t>
  </si>
  <si>
    <t xml:space="preserve">Target HCPs 313/rep (band 275-325: IN) | Priority clinics 78.1/rep (65-80: IN) | Tier 2 104.5/rep (100-130: IN) | Tier 1 52.7/rep (35-45: ABOVE band).</t>
  </si>
  <si>
    <t xml:space="preserve">The Tier 1 overage means the market holds more top-tier prescribers than the workload template assumed - evidence that 28 reps is a floor, not a ceiling.</t>
  </si>
  <si>
    <t xml:space="preserve">V2 — NATIONAL CENSUS APPENDED (this version):</t>
  </si>
  <si>
    <t xml:space="preserve">All 52 state ZIP-census files applied (33,765 ZCTAs). Full scoring weights restored: Target HCPs 40% / Clinics 25% / Volume 15% / Women 25-39 10% / Income 5% / Education 5%.</t>
  </si>
  <si>
    <t xml:space="preserve">Income is population-weighted across ZCTAs with 3,144 missing-value sentinels excluded (census uses -666666666 for suppressed ZIPs; including them corrupts averages).</t>
  </si>
  <si>
    <t xml:space="preserve">17 of 25 territory rankings shifted; hiring waves updated.</t>
  </si>
  <si>
    <t xml:space="preserve">Data-quality notes: the extract's women-25-39 total runs ~20% below published national figures (relative rankings unaffected; do not quote absolute counts as census fact), and the 15-19 age band column is unreliable in spots — it is not used anywhere in this model.</t>
  </si>
  <si>
    <t xml:space="preserve">STRATEGIC CAVEAT — MANDATE STATES: the demographic weights promote Northeast territories (PA-NJ into Wave 1; New England to rank 8). Several of those are insurance-mandate states, which FemaSeed's go-to-market deliberately deprioritizes. The pure-opportunity ranking and the mandate-aware GTM disagree in the early waves. Resolve via the mandate overlay (Phase 2) using a verified CURRENT mandate list before committing hire sequencing — statuses have changed recently.</t>
  </si>
  <si>
    <t xml:space="preserve">V3 — SCORING REVISIONS (this version, per Megan's direction):</t>
  </si>
  <si>
    <t xml:space="preserve">1. Women's demographic window widened from 25-39 to 25-44 (adds the 40-44 census band). The lower bound stays at 25; the 15-19 band remains excluded (unreliable in the extract).</t>
  </si>
  <si>
    <t xml:space="preserve">2. Education weight set to 0% (column retained for reference, not scored).</t>
  </si>
  <si>
    <t xml:space="preserve">3. Income weight raised from 5% to 10%. Final v3 weights: Target HCPs 40% / Clinics 25% / Fertility volume 15% / Women 25-44 10% / Income 10% / Education 0%. (Sums to 100 with no renormalization.)</t>
  </si>
  <si>
    <t xml:space="preserve">Effect: only 2 of 25 rankings changed; top 8 identical; hiring waves materially unchanged. The mandate-state caveat on Hiring Waves stands. Women 25-44 extract total (30.9M ex-PR) runs ~20-25% below published figures — valid for relative ranking, not for absolute quotation.</t>
  </si>
  <si>
    <t xml:space="preserve">V4 — UNIVERSE CHANGE (2026-07-21, per Megan/CEO direction):</t>
  </si>
  <si>
    <t xml:space="preserve">Universe changed from &gt;=5 volume to ALL MDs (18,405 per Waterfall A rev1, canonical). This reverses the v1 universe lock. The 28-rep workload rationale does not hold at this universe; reps are now sized per territory to the 275-325 HCPs/rep band.</t>
  </si>
  <si>
    <t xml:space="preserve">SOURCE DELTA (18,405 vs 18,406): v3's Read Me reconciles to 18,406; Waterfall A rev1 (canonical for v4) totals 18,405. A state-level diff isolates the difference to a single state: MICHIGAN (v3: 747 All MDs; Waterfall A rev1: 746). All other 50 state rows match exactly.</t>
  </si>
  <si>
    <t xml:space="preserve">V4 SCORING (volume unavailable at this universe): no source provides per-state total volume across ALL MDs — row-level volume exists only for the &gt;=10 subset (4,424 physician rows, min volume 10). Reusing the &gt;=5-only volume column for an ALL-MD universe would misstate coverage, so the 15% volume weight is redistributed proportionally. Final v4 weights: All MDs 47.06% / All Clinics 29.41% / Women 25-44 11.76% / Income 11.76% (exactly 40/25/10/10 renormalized over 85). Each component is scored as share-of-territory-maximum, weighted, and rescaled to a 0-100 max. Clinics component now uses ALL clinics (consistent with the ALL-MD universe), not &gt;=10 priority clinics. Census columns (Women 25-44, Income) carried from v3 Territory Plan unchanged; v3's census data-quality caveats still apply.</t>
  </si>
  <si>
    <t xml:space="preserve">V4 SOURCE-DATA FLAGS (Waterfall A rev1): (1) NV Private ALL MDs is written as 304 in the source, inconsistent with NV Total (150) and NV Academic (35), and with the source's own Private TOTAL (10,775), which only reconciles at NV Private = 115. v4 uses 115 = Total - Academic; flagged, not silently corrected at the TOTAL. (2) The waterfall's own row-level tabs contain 4,424 MDs at &gt;=10 vs 4,401 in the Waterfall A TOTAL row — a 23-MD source-internal discrepancy, unexplained in the file. Waterfall A TOTALs remain canonical.</t>
  </si>
  <si>
    <t xml:space="preserve">V4 STRUCTURE NOTES: territory state groupings are v3's 25 territories, unchanged (no geography redrawn). 'Reps Required' = ROUND(All MDs / 300), minimum 1 — the headline staffing ('right reps for right areas'); it implies a 61-rep national org. A 28-rep constrained allocation (largest-remainder apportionment by All MDs) is shown alongside for comparison; under it, T24 (IA-SD-ND-WY) and T25 (SC) receive 0 reps — the 28-cap cannot cover the ALL-MD universe within band (657 HCPs/rep nationally). Hiring waves re-ranked by v4 score, keeping v3's wave sizes (7/5/7/6 territories); 18 of 25 rankings changed vs v3. The mandate-state caveat carries forward verbatim on Hiring Waves.</t>
  </si>
  <si>
    <t xml:space="preserve">Note: v3's Read Me text above is carried forward from the v3 file; minor punctuation artifacts from text extraction were cleaned without changing wording or numbers.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</si>
  <si>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</si>
  <si>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</si>
  <si>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</si>
  <si>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</si>
  <si>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</si>
  <si>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</si>
  <si>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</si>
  <si>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</si>
  <si>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</si>
  <si>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</si>
  <si>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</si>
  <si>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</si>
  <si>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</si>
  <si>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</si>
  <si>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v3 note (retained): 'The &gt;=5 universe is the only definition where 28 reps lands inside the industry workload band.' v4 selects ALL prescribers per Megan/CEO direction; at 28 reps that is 657 HCPs/rep — far over band — so reps are sized per territory instead (see Territory Plan).</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</si>
  <si>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</si>
  <si>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</si>
  <si>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</si>
  <si>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</si>
  <si>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</si>
  <si>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</si>
  <si>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</si>
  <si>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</si>
  <si>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</si>
  <si>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</si>
  <si>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</si>
  <si>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</si>
  <si>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</si>
  <si>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</si>
  <si>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</si>
  <si>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</si>
  <si>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</si>
  <si>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</si>
  <si>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</si>
  <si>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</si>
  <si>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</si>
  <si>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</si>
  <si>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</si>
  <si>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</si>
  <si>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</si>
  <si>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</si>
  <si>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</si>
  <si>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</si>
  <si>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</si>
  <si>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</si>
  <si>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</si>
  <si>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</si>
  <si>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</si>
  <si>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</si>
  <si>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</si>
  <si>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</si>
  <si>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</si>
  <si>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</si>
  <si>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</si>
  <si>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</si>
  <si>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</si>
  <si>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</si>
  <si>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</si>
  <si>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</si>
  <si>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</si>
  <si>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</si>
  <si>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</si>
  <si>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</si>
  <si>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</si>
  <si>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</si>
  <si>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</si>
  <si>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</si>
  <si>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</si>
  <si>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</si>
  <si>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</si>
  <si>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</si>
  <si>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</si>
  <si>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</si>
  <si>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</si>
  <si>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</si>
  <si>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</si>
  <si>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</si>
  <si>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</si>
  <si>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</si>
  <si>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</si>
  <si>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</si>
  <si>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</si>
  <si>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</si>
  <si>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</si>
  <si>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</si>
  <si>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</si>
  <si>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</si>
  <si>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</si>
  <si>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</si>
  <si>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</si>
  <si>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</si>
  <si>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</si>
  <si>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</si>
  <si>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</si>
  <si>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</si>
  <si>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</si>
  <si>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</si>
  <si>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</si>
  <si>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</si>
  <si>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</si>
  <si>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</si>
  <si>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</si>
  <si>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</si>
  <si>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</si>
  <si>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</si>
  <si>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Required (headline)</t>
  </si>
  <si>
    <t xml:space="preserve">HCPs per Rep</t>
  </si>
  <si>
    <t xml:space="preserve">Band (275-325)</t>
  </si>
  <si>
    <t xml:space="preserve">Reps @28 Cap (largest remainder)</t>
  </si>
  <si>
    <t xml:space="preserve">HCPs/Rep @28</t>
  </si>
  <si>
    <t xml:space="preserve">Women 25-44 (v3)</t>
  </si>
  <si>
    <t xml:space="preserve">Wtd Income (v3)</t>
  </si>
  <si>
    <t xml:space="preserve">Score v4</t>
  </si>
  <si>
    <t xml:space="preserve">Rank v4</t>
  </si>
  <si>
    <t xml:space="preserve">Rank v3</t>
  </si>
  <si>
    <t xml:space="preserve">Rank Change</t>
  </si>
  <si>
    <t xml:space="preserve">Hire Wave (v4)</t>
  </si>
  <si>
    <t xml:space="preserve">LR Quota (helper)</t>
  </si>
  <si>
    <t xml:space="preserve">LR Remainder (helper)</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</si>
  <si>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</si>
  <si>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</si>
  <si>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</si>
  <si>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</si>
  <si>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</si>
  <si>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</si>
  <si>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</si>
  <si>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</si>
  <si>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</si>
  <si>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</si>
  <si>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</si>
  <si>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</si>
  <si>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</si>
  <si>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</si>
  <si>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</si>
  <si>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</si>
  <si>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</si>
  <si>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</si>
  <si>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</si>
  <si>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</si>
  <si>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</si>
  <si>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</si>
  <si>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</si>
  <si>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</si>
  <si>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</si>
  <si>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</si>
  <si>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</si>
  <si>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</si>
  <si>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</si>
  <si>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</si>
  <si>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</si>
  <si>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</si>
  <si>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</si>
  <si>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</si>
  <si>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</si>
  <si>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</si>
  <si>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</si>
  <si>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</si>
  <si>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Reps Required = ROUND(All MDs/300), min 1 — headline staffing sized to the 275-325 HCPs/rep band; totals to the implied national org size. Reps @28 Cap = largest-remainder apportionment of 28 reps by All MDs (comparison view; T24 and T25 receive 0 under it). Women 25-44 and Wtd Income carried from v3 Territory Plan unchanged (blue = input). Score v4 weights: All MDs 47.06% / All Clinics 29.41% / Women 25-44 11.76% / Income 11.76% (see Read Me). Helper columns R:S feed the 28-cap apportionment.</t>
  </si>
  <si>
    <t xml:space="preserve">Wave</t>
  </si>
  <si>
    <t xml:space="preserve">Territories Staffed (v4 score order)</t>
  </si>
  <si>
    <t xml:space="preserve">Reps Added</t>
  </si>
  <si>
    <t xml:space="preserve">Cumulative Reps</t>
  </si>
  <si>
    <t xml:space="preserve">Rationale</t>
  </si>
  <si>
    <t xml:space="preserve">Wave 1</t>
  </si>
  <si>
    <t xml:space="preserve">T02 CA-HI; T01 TX; T03 NY; T06 PA-NJ; T05 FL; T08 MA-CT-NH-ME-VT-RI; T12 WA-OR-AK</t>
  </si>
  <si>
    <t xml:space="preserve">Highest v4 opportunity; staff first</t>
  </si>
  <si>
    <t xml:space="preserve">Wave 2</t>
  </si>
  <si>
    <t xml:space="preserve">T17 IL; T09 MN-WI; T04 OH; T07 MI; T13 NC</t>
  </si>
  <si>
    <t xml:space="preserve">Second tier</t>
  </si>
  <si>
    <t xml:space="preserve">Wave 3</t>
  </si>
  <si>
    <t xml:space="preserve">T11 GA; T15 AZ-NV-ID-MT; T10 MO-KY; T16 CO-UT; T14 KS-OK-NE-NM; T22 MD-WV-DE-DC; T21 VA</t>
  </si>
  <si>
    <t xml:space="preserve">Regional completion</t>
  </si>
  <si>
    <t xml:space="preserve">Wave 4</t>
  </si>
  <si>
    <t xml:space="preserve">T19 LA-AR; T18 AL-MS; T20 IN; T23 TN; T24 IA-SD-ND-WY; T25 SC</t>
  </si>
  <si>
    <t xml:space="preserve">Full national at implied org size</t>
  </si>
  <si>
    <t xml:space="preserve">CAVEAT: rankings are pure opportunity, not mandate-adjusted. Northeast (incl. mandate states) remains in early waves under v3 weights. Verify the current mandate list (Phase 2) and re-sequence before committing hires.</t>
  </si>
  <si>
    <t xml:space="preserve">v4 notes: waves re-ranked by v4 score (18 of 25 rankings changed vs v3); wave sizes kept at v3's 7/5/7/6 territories. Reps figures use the headline 'Reps Required' sizing (implied org, not the 28 cap). Under the 28-cap comparison view, T24 (IA-SD-ND-WY) and T25 (SC) get 0 reps.</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</si>
</sst>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0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5" fontId="4"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1" t="s">
        <v>1</v>
      </c>
    </row>
    <row r="3" customFormat="false" ht="35.0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1" t="s">
        <v>4</v>
      </c>
    </row>
    <row r="6" customFormat="false" ht="15" hidden="false" customHeight="false" outlineLevel="0" collapsed="false">
      <c r="A6" s="2" t="s">
        <v>5</v>
      </c>
    </row>
    <row r="7" customFormat="false" ht="15" hidden="false" customHeight="false" outlineLevel="0" collapsed="false">
      <c r="A7" s="2" t="s">
        <v>6</v>
      </c>
    </row>
    <row r="8" customFormat="false" ht="23.85" hidden="false" customHeight="false" outlineLevel="0" collapsed="false">
      <c r="A8" s="2" t="s">
        <v>7</v>
      </c>
    </row>
    <row r="9" customFormat="false" ht="35.05" hidden="false" customHeight="false" outlineLevel="0" collapsed="false">
      <c r="A9" s="2" t="s">
        <v>8</v>
      </c>
    </row>
    <row r="10" customFormat="false" ht="15" hidden="false" customHeight="false" outlineLevel="0" collapsed="false">
      <c r="A10" s="1" t="s">
        <v>9</v>
      </c>
    </row>
    <row r="11" customFormat="false" ht="23.85" hidden="false" customHeight="false" outlineLevel="0" collapsed="false">
      <c r="A11" s="2" t="s">
        <v>10</v>
      </c>
    </row>
    <row r="12" customFormat="false" ht="15" hidden="false" customHeight="false" outlineLevel="0" collapsed="false">
      <c r="A12" s="2" t="s">
        <v>11</v>
      </c>
    </row>
    <row r="13" customFormat="false" ht="23.85" hidden="false" customHeight="false" outlineLevel="0" collapsed="false">
      <c r="A13" s="2" t="s">
        <v>12</v>
      </c>
    </row>
    <row r="14" customFormat="false" ht="15" hidden="false" customHeight="false" outlineLevel="0" collapsed="false">
      <c r="A14" s="1" t="s">
        <v>13</v>
      </c>
    </row>
    <row r="15" customFormat="false" ht="23.85" hidden="false" customHeight="false" outlineLevel="0" collapsed="false">
      <c r="A15" s="2" t="s">
        <v>14</v>
      </c>
    </row>
    <row r="16" customFormat="false" ht="15" hidden="false" customHeight="false" outlineLevel="0" collapsed="false">
      <c r="A16" s="1" t="s">
        <v>15</v>
      </c>
    </row>
    <row r="17" customFormat="false" ht="15" hidden="false" customHeight="false" outlineLevel="0" collapsed="false">
      <c r="A17" s="2" t="s">
        <v>16</v>
      </c>
    </row>
    <row r="18" customFormat="false" ht="15" hidden="false" customHeight="false" outlineLevel="0" collapsed="false">
      <c r="A18" s="2" t="s">
        <v>17</v>
      </c>
    </row>
    <row r="19" customFormat="false" ht="15" hidden="false" customHeight="false" outlineLevel="0" collapsed="false">
      <c r="A19" s="1" t="s">
        <v>18</v>
      </c>
    </row>
    <row r="20" customFormat="false" ht="15" hidden="false" customHeight="false" outlineLevel="0" collapsed="false">
      <c r="A20" s="2" t="s">
        <v>19</v>
      </c>
    </row>
    <row r="21" customFormat="false" ht="15" hidden="false" customHeight="false" outlineLevel="0" collapsed="false">
      <c r="A21" s="2" t="s">
        <v>20</v>
      </c>
    </row>
    <row r="22" customFormat="false" ht="15" hidden="false" customHeight="false" outlineLevel="0" collapsed="false">
      <c r="A22" s="2" t="s">
        <v>21</v>
      </c>
    </row>
    <row r="23" customFormat="false" ht="23.85" hidden="false" customHeight="false" outlineLevel="0" collapsed="false">
      <c r="A23" s="2" t="s">
        <v>22</v>
      </c>
    </row>
    <row r="24" customFormat="false" ht="35.05" hidden="false" customHeight="false" outlineLevel="0" collapsed="false">
      <c r="A24" s="2" t="s">
        <v>23</v>
      </c>
    </row>
    <row r="25" customFormat="false" ht="15" hidden="false" customHeight="false" outlineLevel="0" collapsed="false">
      <c r="A25" s="1" t="s">
        <v>24</v>
      </c>
    </row>
    <row r="26" customFormat="false" ht="15" hidden="false" customHeight="false" outlineLevel="0" collapsed="false">
      <c r="A26" s="2" t="s">
        <v>25</v>
      </c>
    </row>
    <row r="27" customFormat="false" ht="15" hidden="false" customHeight="false" outlineLevel="0" collapsed="false">
      <c r="A27" s="2" t="s">
        <v>26</v>
      </c>
    </row>
    <row r="28" customFormat="false" ht="23.85" hidden="false" customHeight="false" outlineLevel="0" collapsed="false">
      <c r="A28" s="2" t="s">
        <v>27</v>
      </c>
    </row>
    <row r="29" customFormat="false" ht="23.85" hidden="false" customHeight="false" outlineLevel="0" collapsed="false">
      <c r="A29" s="2" t="s">
        <v>28</v>
      </c>
    </row>
    <row r="30" customFormat="false" ht="15" hidden="false" customHeight="false" outlineLevel="0" collapsed="false">
      <c r="A30" s="2"/>
    </row>
    <row r="31" customFormat="false" ht="15" hidden="false" customHeight="false" outlineLevel="0" collapsed="false">
      <c r="A31" s="1" t="s">
        <v>29</v>
      </c>
    </row>
    <row r="32" customFormat="false" ht="23.85" hidden="false" customHeight="false" outlineLevel="0" collapsed="false">
      <c r="A32" s="2" t="s">
        <v>30</v>
      </c>
    </row>
    <row r="33" customFormat="false" ht="23.85" hidden="false" customHeight="false" outlineLevel="0" collapsed="false">
      <c r="A33" s="2" t="s">
        <v>31</v>
      </c>
    </row>
    <row r="34" customFormat="false" ht="57.45" hidden="false" customHeight="false" outlineLevel="0" collapsed="false">
      <c r="A34" s="2" t="s">
        <v>32</v>
      </c>
    </row>
    <row r="35" customFormat="false" ht="35.05" hidden="false" customHeight="false" outlineLevel="0" collapsed="false">
      <c r="A35" s="2" t="s">
        <v>33</v>
      </c>
    </row>
    <row r="36" customFormat="false" ht="46.25" hidden="false" customHeight="false" outlineLevel="0" collapsed="false">
      <c r="A36" s="2" t="s">
        <v>34</v>
      </c>
    </row>
    <row r="37" customFormat="false" ht="15" hidden="false" customHeight="false" outlineLevel="0" collapsed="false">
      <c r="A37" s="2"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3"/>
    <col collapsed="false" customWidth="true" hidden="false" outlineLevel="0" max="4" min="4" style="0" width="15"/>
    <col collapsed="false" customWidth="true" hidden="false" outlineLevel="0" max="5" min="5" style="0" width="20"/>
    <col collapsed="false" customWidth="true" hidden="false" outlineLevel="0" max="6" min="6" style="0" width="52"/>
  </cols>
  <sheetData>
    <row r="1" customFormat="false" ht="15" hidden="false" customHeight="false" outlineLevel="0" collapsed="false">
      <c r="A1" s="3" t="s">
        <v>36</v>
      </c>
      <c r="B1" s="3" t="s">
        <v>37</v>
      </c>
      <c r="C1" s="3" t="s">
        <v>38</v>
      </c>
      <c r="D1" s="3" t="s">
        <v>39</v>
      </c>
      <c r="E1" s="3" t="s">
        <v>40</v>
      </c>
      <c r="F1" s="3" t="s">
        <v>41</v>
      </c>
    </row>
    <row r="2" customFormat="false" ht="15" hidden="false" customHeight="false" outlineLevel="0" collapsed="false">
      <c r="A2" s="4" t="s">
        <v>42</v>
      </c>
      <c r="B2" s="5" t="n">
        <v>18405</v>
      </c>
      <c r="C2" s="5" t="n">
        <f aca="false">MAX(1,ROUND(B2/300,0))</f>
        <v>61</v>
      </c>
      <c r="D2" s="5" t="n">
        <f aca="false">ROUND(B2/28,0)</f>
        <v>657</v>
      </c>
      <c r="E2" s="4" t="s">
        <v>43</v>
      </c>
      <c r="F2" s="4" t="s">
        <v>44</v>
      </c>
    </row>
    <row r="3" customFormat="false" ht="15" hidden="false" customHeight="false" outlineLevel="0" collapsed="false">
      <c r="A3" s="6" t="s">
        <v>45</v>
      </c>
      <c r="B3" s="7" t="n">
        <v>8757</v>
      </c>
      <c r="C3" s="7" t="n">
        <f aca="false">MAX(1,ROUND(B3/300,0))</f>
        <v>29</v>
      </c>
      <c r="D3" s="7" t="n">
        <f aca="false">ROUND(B3/28,0)</f>
        <v>313</v>
      </c>
      <c r="E3" s="6" t="s">
        <v>46</v>
      </c>
      <c r="F3" s="6" t="s">
        <v>47</v>
      </c>
    </row>
    <row r="4" customFormat="false" ht="15" hidden="false" customHeight="false" outlineLevel="0" collapsed="false">
      <c r="A4" s="6" t="s">
        <v>48</v>
      </c>
      <c r="B4" s="7" t="n">
        <v>4401</v>
      </c>
      <c r="C4" s="7" t="n">
        <f aca="false">MAX(1,ROUND(B4/300,0))</f>
        <v>15</v>
      </c>
      <c r="D4" s="7" t="n">
        <f aca="false">ROUND(B4/28,0)</f>
        <v>157</v>
      </c>
      <c r="E4" s="6" t="s">
        <v>43</v>
      </c>
      <c r="F4" s="6"/>
    </row>
    <row r="5" customFormat="false" ht="15" hidden="false" customHeight="false" outlineLevel="0" collapsed="false">
      <c r="A5" s="6" t="s">
        <v>49</v>
      </c>
      <c r="B5" s="7" t="n">
        <v>1476</v>
      </c>
      <c r="C5" s="7" t="n">
        <f aca="false">MAX(1,ROUND(B5/300,0))</f>
        <v>5</v>
      </c>
      <c r="D5" s="7" t="n">
        <f aca="false">ROUND(B5/28,0)</f>
        <v>53</v>
      </c>
      <c r="E5" s="6" t="s">
        <v>43</v>
      </c>
      <c r="F5" s="6"/>
    </row>
    <row r="7" customFormat="false" ht="39.75" hidden="false" customHeight="true" outlineLevel="0" collapsed="false">
      <c r="A7" s="8" t="s">
        <v>50</v>
      </c>
      <c r="B7" s="8"/>
      <c r="C7" s="8"/>
      <c r="D7" s="8"/>
      <c r="E7" s="8"/>
      <c r="F7" s="8"/>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19" min="2" style="0" width="11"/>
    <col collapsed="false" customWidth="true" hidden="false" outlineLevel="0" max="20" min="20" style="0" width="10"/>
  </cols>
  <sheetData>
    <row r="1" customFormat="false" ht="15" hidden="false" customHeight="false" outlineLevel="0" collapsed="false">
      <c r="A1" s="9" t="s">
        <v>51</v>
      </c>
      <c r="B1" s="9"/>
      <c r="C1" s="9"/>
      <c r="D1" s="9"/>
      <c r="E1" s="9"/>
      <c r="F1" s="9"/>
      <c r="G1" s="9"/>
      <c r="H1" s="9"/>
      <c r="I1" s="9"/>
      <c r="J1" s="9"/>
      <c r="K1" s="9"/>
      <c r="L1" s="9"/>
      <c r="M1" s="9"/>
      <c r="N1" s="9"/>
      <c r="O1" s="9"/>
      <c r="P1" s="9"/>
      <c r="Q1" s="9"/>
      <c r="R1" s="9"/>
      <c r="S1" s="9"/>
      <c r="T1" s="9"/>
    </row>
    <row r="2" customFormat="false" ht="15" hidden="false" customHeight="false" outlineLevel="0" collapsed="false">
      <c r="B2" s="10" t="s">
        <v>52</v>
      </c>
      <c r="C2" s="10"/>
      <c r="D2" s="10"/>
      <c r="E2" s="10"/>
      <c r="F2" s="10"/>
      <c r="G2" s="10"/>
      <c r="H2" s="10" t="s">
        <v>53</v>
      </c>
      <c r="I2" s="10"/>
      <c r="J2" s="10"/>
      <c r="K2" s="10"/>
      <c r="L2" s="10"/>
      <c r="M2" s="10"/>
      <c r="N2" s="10" t="s">
        <v>54</v>
      </c>
      <c r="O2" s="10"/>
      <c r="P2" s="10"/>
      <c r="Q2" s="10"/>
      <c r="R2" s="10"/>
      <c r="S2" s="10"/>
    </row>
    <row r="3" customFormat="false" ht="15" hidden="false" customHeight="false" outlineLevel="0" collapsed="false">
      <c r="A3" s="3" t="s">
        <v>55</v>
      </c>
      <c r="B3" s="3" t="s">
        <v>56</v>
      </c>
      <c r="C3" s="3" t="s">
        <v>57</v>
      </c>
      <c r="D3" s="3" t="s">
        <v>58</v>
      </c>
      <c r="E3" s="3" t="s">
        <v>59</v>
      </c>
      <c r="F3" s="3" t="s">
        <v>60</v>
      </c>
      <c r="G3" s="3" t="s">
        <v>61</v>
      </c>
      <c r="H3" s="3" t="s">
        <v>56</v>
      </c>
      <c r="I3" s="3" t="s">
        <v>57</v>
      </c>
      <c r="J3" s="3" t="s">
        <v>58</v>
      </c>
      <c r="K3" s="3" t="s">
        <v>59</v>
      </c>
      <c r="L3" s="3" t="s">
        <v>60</v>
      </c>
      <c r="M3" s="3" t="s">
        <v>61</v>
      </c>
      <c r="N3" s="3" t="s">
        <v>56</v>
      </c>
      <c r="O3" s="3" t="s">
        <v>57</v>
      </c>
      <c r="P3" s="3" t="s">
        <v>58</v>
      </c>
      <c r="Q3" s="3" t="s">
        <v>59</v>
      </c>
      <c r="R3" s="3" t="s">
        <v>60</v>
      </c>
      <c r="S3" s="3" t="s">
        <v>61</v>
      </c>
      <c r="T3" s="3" t="s">
        <v>62</v>
      </c>
    </row>
    <row r="4" customFormat="false" ht="15" hidden="false" customHeight="false" outlineLevel="0" collapsed="false">
      <c r="A4" s="11" t="s">
        <v>63</v>
      </c>
      <c r="B4" s="7" t="n">
        <v>50</v>
      </c>
      <c r="C4" s="7" t="n">
        <v>25</v>
      </c>
      <c r="D4" s="7" t="n">
        <v>14</v>
      </c>
      <c r="E4" s="7" t="n">
        <v>10</v>
      </c>
      <c r="F4" s="7" t="n">
        <v>8</v>
      </c>
      <c r="G4" s="7" t="n">
        <v>7</v>
      </c>
      <c r="H4" s="7" t="n">
        <v>37</v>
      </c>
      <c r="I4" s="7" t="n">
        <v>17</v>
      </c>
      <c r="J4" s="7" t="n">
        <v>14</v>
      </c>
      <c r="K4" s="7" t="n">
        <v>10</v>
      </c>
      <c r="L4" s="7" t="n">
        <v>8</v>
      </c>
      <c r="M4" s="7" t="n">
        <v>7</v>
      </c>
      <c r="N4" s="7" t="n">
        <v>13</v>
      </c>
      <c r="O4" s="7" t="n">
        <v>8</v>
      </c>
      <c r="P4" s="7" t="n">
        <v>0</v>
      </c>
      <c r="Q4" s="7" t="n">
        <v>0</v>
      </c>
      <c r="R4" s="7" t="n">
        <v>0</v>
      </c>
      <c r="S4" s="7" t="n">
        <v>0</v>
      </c>
      <c r="T4" s="11" t="s">
        <v>64</v>
      </c>
    </row>
    <row r="5" customFormat="false" ht="15" hidden="false" customHeight="false" outlineLevel="0" collapsed="false">
      <c r="A5" s="11" t="s">
        <v>65</v>
      </c>
      <c r="B5" s="7" t="n">
        <v>294</v>
      </c>
      <c r="C5" s="7" t="n">
        <v>113</v>
      </c>
      <c r="D5" s="7" t="n">
        <v>95</v>
      </c>
      <c r="E5" s="7" t="n">
        <v>55</v>
      </c>
      <c r="F5" s="7" t="n">
        <v>28</v>
      </c>
      <c r="G5" s="7" t="n">
        <v>22</v>
      </c>
      <c r="H5" s="7" t="n">
        <v>236</v>
      </c>
      <c r="I5" s="7" t="n">
        <v>90</v>
      </c>
      <c r="J5" s="7" t="n">
        <v>81</v>
      </c>
      <c r="K5" s="7" t="n">
        <v>46</v>
      </c>
      <c r="L5" s="7" t="n">
        <v>22</v>
      </c>
      <c r="M5" s="7" t="n">
        <v>18</v>
      </c>
      <c r="N5" s="7" t="n">
        <v>58</v>
      </c>
      <c r="O5" s="7" t="n">
        <v>23</v>
      </c>
      <c r="P5" s="7" t="n">
        <v>14</v>
      </c>
      <c r="Q5" s="7" t="n">
        <v>9</v>
      </c>
      <c r="R5" s="7" t="n">
        <v>6</v>
      </c>
      <c r="S5" s="7" t="n">
        <v>4</v>
      </c>
      <c r="T5" s="11" t="s">
        <v>66</v>
      </c>
    </row>
    <row r="6" customFormat="false" ht="15" hidden="false" customHeight="false" outlineLevel="0" collapsed="false">
      <c r="A6" s="11" t="s">
        <v>67</v>
      </c>
      <c r="B6" s="7" t="n">
        <v>180</v>
      </c>
      <c r="C6" s="7" t="n">
        <v>64</v>
      </c>
      <c r="D6" s="7" t="n">
        <v>80</v>
      </c>
      <c r="E6" s="7" t="n">
        <v>39</v>
      </c>
      <c r="F6" s="7" t="n">
        <v>30</v>
      </c>
      <c r="G6" s="7" t="n">
        <v>20</v>
      </c>
      <c r="H6" s="7" t="n">
        <v>116</v>
      </c>
      <c r="I6" s="7" t="n">
        <v>42</v>
      </c>
      <c r="J6" s="7" t="n">
        <v>60</v>
      </c>
      <c r="K6" s="7" t="n">
        <v>26</v>
      </c>
      <c r="L6" s="7" t="n">
        <v>23</v>
      </c>
      <c r="M6" s="7" t="n">
        <v>14</v>
      </c>
      <c r="N6" s="7" t="n">
        <v>64</v>
      </c>
      <c r="O6" s="7" t="n">
        <v>22</v>
      </c>
      <c r="P6" s="7" t="n">
        <v>20</v>
      </c>
      <c r="Q6" s="7" t="n">
        <v>13</v>
      </c>
      <c r="R6" s="7" t="n">
        <v>7</v>
      </c>
      <c r="S6" s="7" t="n">
        <v>6</v>
      </c>
      <c r="T6" s="11" t="s">
        <v>68</v>
      </c>
    </row>
    <row r="7" customFormat="false" ht="15" hidden="false" customHeight="false" outlineLevel="0" collapsed="false">
      <c r="A7" s="11" t="s">
        <v>69</v>
      </c>
      <c r="B7" s="7" t="n">
        <v>273</v>
      </c>
      <c r="C7" s="7" t="n">
        <v>107</v>
      </c>
      <c r="D7" s="7" t="n">
        <v>51</v>
      </c>
      <c r="E7" s="7" t="n">
        <v>27</v>
      </c>
      <c r="F7" s="7" t="n">
        <v>19</v>
      </c>
      <c r="G7" s="7" t="n">
        <v>16</v>
      </c>
      <c r="H7" s="7" t="n">
        <v>189</v>
      </c>
      <c r="I7" s="7" t="n">
        <v>70</v>
      </c>
      <c r="J7" s="7" t="n">
        <v>40</v>
      </c>
      <c r="K7" s="7" t="n">
        <v>21</v>
      </c>
      <c r="L7" s="7" t="n">
        <v>14</v>
      </c>
      <c r="M7" s="7" t="n">
        <v>12</v>
      </c>
      <c r="N7" s="7" t="n">
        <v>84</v>
      </c>
      <c r="O7" s="7" t="n">
        <v>37</v>
      </c>
      <c r="P7" s="7" t="n">
        <v>11</v>
      </c>
      <c r="Q7" s="7" t="n">
        <v>6</v>
      </c>
      <c r="R7" s="7" t="n">
        <v>5</v>
      </c>
      <c r="S7" s="7" t="n">
        <v>4</v>
      </c>
      <c r="T7" s="11" t="s">
        <v>70</v>
      </c>
    </row>
    <row r="8" customFormat="false" ht="15" hidden="false" customHeight="false" outlineLevel="0" collapsed="false">
      <c r="A8" s="11" t="s">
        <v>71</v>
      </c>
      <c r="B8" s="7" t="n">
        <v>1499</v>
      </c>
      <c r="C8" s="7" t="n">
        <v>648</v>
      </c>
      <c r="D8" s="7" t="n">
        <v>306</v>
      </c>
      <c r="E8" s="7" t="n">
        <v>195</v>
      </c>
      <c r="F8" s="7" t="n">
        <v>106</v>
      </c>
      <c r="G8" s="7" t="n">
        <v>90</v>
      </c>
      <c r="H8" s="7" t="n">
        <v>686</v>
      </c>
      <c r="I8" s="7" t="n">
        <v>394</v>
      </c>
      <c r="J8" s="7" t="n">
        <v>147</v>
      </c>
      <c r="K8" s="7" t="n">
        <v>110</v>
      </c>
      <c r="L8" s="7" t="n">
        <v>51</v>
      </c>
      <c r="M8" s="7" t="n">
        <v>46</v>
      </c>
      <c r="N8" s="7" t="n">
        <v>813</v>
      </c>
      <c r="O8" s="7" t="n">
        <v>254</v>
      </c>
      <c r="P8" s="7" t="n">
        <v>159</v>
      </c>
      <c r="Q8" s="7" t="n">
        <v>85</v>
      </c>
      <c r="R8" s="7" t="n">
        <v>55</v>
      </c>
      <c r="S8" s="7" t="n">
        <v>44</v>
      </c>
      <c r="T8" s="11" t="s">
        <v>72</v>
      </c>
    </row>
    <row r="9" customFormat="false" ht="15" hidden="false" customHeight="false" outlineLevel="0" collapsed="false">
      <c r="A9" s="11" t="s">
        <v>73</v>
      </c>
      <c r="B9" s="7" t="n">
        <v>352</v>
      </c>
      <c r="C9" s="7" t="n">
        <v>107</v>
      </c>
      <c r="D9" s="7" t="n">
        <v>82</v>
      </c>
      <c r="E9" s="7" t="n">
        <v>37</v>
      </c>
      <c r="F9" s="7" t="n">
        <v>24</v>
      </c>
      <c r="G9" s="7" t="n">
        <v>16</v>
      </c>
      <c r="H9" s="7" t="n">
        <v>205</v>
      </c>
      <c r="I9" s="7" t="n">
        <v>57</v>
      </c>
      <c r="J9" s="7" t="n">
        <v>56</v>
      </c>
      <c r="K9" s="7" t="n">
        <v>21</v>
      </c>
      <c r="L9" s="7" t="n">
        <v>21</v>
      </c>
      <c r="M9" s="7" t="n">
        <v>13</v>
      </c>
      <c r="N9" s="7" t="n">
        <v>147</v>
      </c>
      <c r="O9" s="7" t="n">
        <v>50</v>
      </c>
      <c r="P9" s="7" t="n">
        <v>26</v>
      </c>
      <c r="Q9" s="7" t="n">
        <v>16</v>
      </c>
      <c r="R9" s="7" t="n">
        <v>3</v>
      </c>
      <c r="S9" s="7" t="n">
        <v>3</v>
      </c>
      <c r="T9" s="11" t="s">
        <v>74</v>
      </c>
    </row>
    <row r="10" customFormat="false" ht="15" hidden="false" customHeight="false" outlineLevel="0" collapsed="false">
      <c r="A10" s="11" t="s">
        <v>75</v>
      </c>
      <c r="B10" s="7" t="n">
        <v>254</v>
      </c>
      <c r="C10" s="7" t="n">
        <v>57</v>
      </c>
      <c r="D10" s="7" t="n">
        <v>32</v>
      </c>
      <c r="E10" s="7" t="n">
        <v>14</v>
      </c>
      <c r="F10" s="7" t="n">
        <v>6</v>
      </c>
      <c r="G10" s="7" t="n">
        <v>6</v>
      </c>
      <c r="H10" s="7" t="n">
        <v>175</v>
      </c>
      <c r="I10" s="7" t="n">
        <v>26</v>
      </c>
      <c r="J10" s="7" t="n">
        <v>24</v>
      </c>
      <c r="K10" s="7" t="n">
        <v>7</v>
      </c>
      <c r="L10" s="7" t="n">
        <v>4</v>
      </c>
      <c r="M10" s="7" t="n">
        <v>4</v>
      </c>
      <c r="N10" s="7" t="n">
        <v>79</v>
      </c>
      <c r="O10" s="7" t="n">
        <v>31</v>
      </c>
      <c r="P10" s="7" t="n">
        <v>8</v>
      </c>
      <c r="Q10" s="7" t="n">
        <v>7</v>
      </c>
      <c r="R10" s="7" t="n">
        <v>2</v>
      </c>
      <c r="S10" s="7" t="n">
        <v>2</v>
      </c>
      <c r="T10" s="11" t="s">
        <v>76</v>
      </c>
    </row>
    <row r="11" customFormat="false" ht="15" hidden="false" customHeight="false" outlineLevel="0" collapsed="false">
      <c r="A11" s="11" t="s">
        <v>77</v>
      </c>
      <c r="B11" s="7" t="n">
        <v>34</v>
      </c>
      <c r="C11" s="7" t="n">
        <v>16</v>
      </c>
      <c r="D11" s="7" t="n">
        <v>1</v>
      </c>
      <c r="E11" s="7" t="n">
        <v>1</v>
      </c>
      <c r="F11" s="7" t="n">
        <v>0</v>
      </c>
      <c r="G11" s="7" t="n">
        <v>0</v>
      </c>
      <c r="H11" s="7" t="n">
        <v>22</v>
      </c>
      <c r="I11" s="7" t="n">
        <v>9</v>
      </c>
      <c r="J11" s="7" t="n">
        <v>0</v>
      </c>
      <c r="K11" s="7" t="n">
        <v>0</v>
      </c>
      <c r="L11" s="7" t="n">
        <v>0</v>
      </c>
      <c r="M11" s="7" t="n">
        <v>0</v>
      </c>
      <c r="N11" s="7" t="n">
        <v>12</v>
      </c>
      <c r="O11" s="7" t="n">
        <v>7</v>
      </c>
      <c r="P11" s="7" t="n">
        <v>1</v>
      </c>
      <c r="Q11" s="7" t="n">
        <v>1</v>
      </c>
      <c r="R11" s="7" t="n">
        <v>0</v>
      </c>
      <c r="S11" s="7" t="n">
        <v>0</v>
      </c>
      <c r="T11" s="11" t="s">
        <v>78</v>
      </c>
    </row>
    <row r="12" customFormat="false" ht="15" hidden="false" customHeight="false" outlineLevel="0" collapsed="false">
      <c r="A12" s="11" t="s">
        <v>79</v>
      </c>
      <c r="B12" s="7" t="n">
        <v>28</v>
      </c>
      <c r="C12" s="7" t="n">
        <v>14</v>
      </c>
      <c r="D12" s="7" t="n">
        <v>2</v>
      </c>
      <c r="E12" s="7" t="n">
        <v>2</v>
      </c>
      <c r="F12" s="7" t="n">
        <v>1</v>
      </c>
      <c r="G12" s="7" t="n">
        <v>1</v>
      </c>
      <c r="H12" s="7" t="n">
        <v>25</v>
      </c>
      <c r="I12" s="7" t="n">
        <v>12</v>
      </c>
      <c r="J12" s="7" t="n">
        <v>1</v>
      </c>
      <c r="K12" s="7" t="n">
        <v>1</v>
      </c>
      <c r="L12" s="7" t="n">
        <v>1</v>
      </c>
      <c r="M12" s="7" t="n">
        <v>1</v>
      </c>
      <c r="N12" s="7" t="n">
        <v>3</v>
      </c>
      <c r="O12" s="7" t="n">
        <v>2</v>
      </c>
      <c r="P12" s="7" t="n">
        <v>1</v>
      </c>
      <c r="Q12" s="7" t="n">
        <v>1</v>
      </c>
      <c r="R12" s="7" t="n">
        <v>0</v>
      </c>
      <c r="S12" s="7" t="n">
        <v>0</v>
      </c>
      <c r="T12" s="11" t="s">
        <v>78</v>
      </c>
    </row>
    <row r="13" customFormat="false" ht="15" hidden="false" customHeight="false" outlineLevel="0" collapsed="false">
      <c r="A13" s="11" t="s">
        <v>80</v>
      </c>
      <c r="B13" s="7" t="n">
        <v>1107</v>
      </c>
      <c r="C13" s="7" t="n">
        <v>273</v>
      </c>
      <c r="D13" s="7" t="n">
        <v>159</v>
      </c>
      <c r="E13" s="7" t="n">
        <v>67</v>
      </c>
      <c r="F13" s="7" t="n">
        <v>46</v>
      </c>
      <c r="G13" s="7" t="n">
        <v>32</v>
      </c>
      <c r="H13" s="7" t="n">
        <v>829</v>
      </c>
      <c r="I13" s="7" t="n">
        <v>153</v>
      </c>
      <c r="J13" s="7" t="n">
        <v>120</v>
      </c>
      <c r="K13" s="7" t="n">
        <v>40</v>
      </c>
      <c r="L13" s="7" t="n">
        <v>33</v>
      </c>
      <c r="M13" s="7" t="n">
        <v>21</v>
      </c>
      <c r="N13" s="7" t="n">
        <v>278</v>
      </c>
      <c r="O13" s="7" t="n">
        <v>120</v>
      </c>
      <c r="P13" s="7" t="n">
        <v>39</v>
      </c>
      <c r="Q13" s="7" t="n">
        <v>27</v>
      </c>
      <c r="R13" s="7" t="n">
        <v>13</v>
      </c>
      <c r="S13" s="7" t="n">
        <v>11</v>
      </c>
      <c r="T13" s="11" t="s">
        <v>81</v>
      </c>
    </row>
    <row r="14" customFormat="false" ht="15" hidden="false" customHeight="false" outlineLevel="0" collapsed="false">
      <c r="A14" s="11" t="s">
        <v>82</v>
      </c>
      <c r="B14" s="7" t="n">
        <v>683</v>
      </c>
      <c r="C14" s="7" t="n">
        <v>220</v>
      </c>
      <c r="D14" s="7" t="n">
        <v>185</v>
      </c>
      <c r="E14" s="7" t="n">
        <v>86</v>
      </c>
      <c r="F14" s="7" t="n">
        <v>63</v>
      </c>
      <c r="G14" s="7" t="n">
        <v>36</v>
      </c>
      <c r="H14" s="7" t="n">
        <v>561</v>
      </c>
      <c r="I14" s="7" t="n">
        <v>171</v>
      </c>
      <c r="J14" s="7" t="n">
        <v>163</v>
      </c>
      <c r="K14" s="7" t="n">
        <v>74</v>
      </c>
      <c r="L14" s="7" t="n">
        <v>59</v>
      </c>
      <c r="M14" s="7" t="n">
        <v>33</v>
      </c>
      <c r="N14" s="7" t="n">
        <v>122</v>
      </c>
      <c r="O14" s="7" t="n">
        <v>49</v>
      </c>
      <c r="P14" s="7" t="n">
        <v>22</v>
      </c>
      <c r="Q14" s="7" t="n">
        <v>12</v>
      </c>
      <c r="R14" s="7" t="n">
        <v>4</v>
      </c>
      <c r="S14" s="7" t="n">
        <v>3</v>
      </c>
      <c r="T14" s="11" t="s">
        <v>83</v>
      </c>
    </row>
    <row r="15" customFormat="false" ht="15" hidden="false" customHeight="false" outlineLevel="0" collapsed="false">
      <c r="A15" s="11" t="s">
        <v>84</v>
      </c>
      <c r="B15" s="7" t="n">
        <v>80</v>
      </c>
      <c r="C15" s="7" t="n">
        <v>40</v>
      </c>
      <c r="D15" s="7" t="n">
        <v>19</v>
      </c>
      <c r="E15" s="7" t="n">
        <v>15</v>
      </c>
      <c r="F15" s="7" t="n">
        <v>11</v>
      </c>
      <c r="G15" s="7" t="n">
        <v>10</v>
      </c>
      <c r="H15" s="7" t="n">
        <v>36</v>
      </c>
      <c r="I15" s="7" t="n">
        <v>27</v>
      </c>
      <c r="J15" s="7" t="n">
        <v>12</v>
      </c>
      <c r="K15" s="7" t="n">
        <v>10</v>
      </c>
      <c r="L15" s="7" t="n">
        <v>8</v>
      </c>
      <c r="M15" s="7" t="n">
        <v>7</v>
      </c>
      <c r="N15" s="7" t="n">
        <v>44</v>
      </c>
      <c r="O15" s="7" t="n">
        <v>13</v>
      </c>
      <c r="P15" s="7" t="n">
        <v>7</v>
      </c>
      <c r="Q15" s="7" t="n">
        <v>5</v>
      </c>
      <c r="R15" s="7" t="n">
        <v>3</v>
      </c>
      <c r="S15" s="7" t="n">
        <v>3</v>
      </c>
      <c r="T15" s="11" t="s">
        <v>72</v>
      </c>
    </row>
    <row r="16" customFormat="false" ht="15" hidden="false" customHeight="false" outlineLevel="0" collapsed="false">
      <c r="A16" s="11" t="s">
        <v>85</v>
      </c>
      <c r="B16" s="7" t="n">
        <v>179</v>
      </c>
      <c r="C16" s="7" t="n">
        <v>51</v>
      </c>
      <c r="D16" s="7" t="n">
        <v>57</v>
      </c>
      <c r="E16" s="7" t="n">
        <v>28</v>
      </c>
      <c r="F16" s="7" t="n">
        <v>17</v>
      </c>
      <c r="G16" s="7" t="n">
        <v>11</v>
      </c>
      <c r="H16" s="7" t="n">
        <v>121</v>
      </c>
      <c r="I16" s="7" t="n">
        <v>28</v>
      </c>
      <c r="J16" s="7" t="n">
        <v>43</v>
      </c>
      <c r="K16" s="7" t="n">
        <v>17</v>
      </c>
      <c r="L16" s="7" t="n">
        <v>13</v>
      </c>
      <c r="M16" s="7" t="n">
        <v>7</v>
      </c>
      <c r="N16" s="7" t="n">
        <v>58</v>
      </c>
      <c r="O16" s="7" t="n">
        <v>23</v>
      </c>
      <c r="P16" s="7" t="n">
        <v>14</v>
      </c>
      <c r="Q16" s="7" t="n">
        <v>11</v>
      </c>
      <c r="R16" s="7" t="n">
        <v>4</v>
      </c>
      <c r="S16" s="7" t="n">
        <v>4</v>
      </c>
      <c r="T16" s="11" t="s">
        <v>86</v>
      </c>
    </row>
    <row r="17" customFormat="false" ht="15" hidden="false" customHeight="false" outlineLevel="0" collapsed="false">
      <c r="A17" s="11" t="s">
        <v>87</v>
      </c>
      <c r="B17" s="7" t="n">
        <v>102</v>
      </c>
      <c r="C17" s="7" t="n">
        <v>32</v>
      </c>
      <c r="D17" s="7" t="n">
        <v>33</v>
      </c>
      <c r="E17" s="7" t="n">
        <v>15</v>
      </c>
      <c r="F17" s="7" t="n">
        <v>7</v>
      </c>
      <c r="G17" s="7" t="n">
        <v>6</v>
      </c>
      <c r="H17" s="7" t="n">
        <v>58</v>
      </c>
      <c r="I17" s="7" t="n">
        <v>20</v>
      </c>
      <c r="J17" s="7" t="n">
        <v>19</v>
      </c>
      <c r="K17" s="7" t="n">
        <v>10</v>
      </c>
      <c r="L17" s="7" t="n">
        <v>4</v>
      </c>
      <c r="M17" s="7" t="n">
        <v>3</v>
      </c>
      <c r="N17" s="7" t="n">
        <v>44</v>
      </c>
      <c r="O17" s="7" t="n">
        <v>12</v>
      </c>
      <c r="P17" s="7" t="n">
        <v>14</v>
      </c>
      <c r="Q17" s="7" t="n">
        <v>5</v>
      </c>
      <c r="R17" s="7" t="n">
        <v>3</v>
      </c>
      <c r="S17" s="7" t="n">
        <v>3</v>
      </c>
      <c r="T17" s="11" t="s">
        <v>70</v>
      </c>
    </row>
    <row r="18" customFormat="false" ht="15" hidden="false" customHeight="false" outlineLevel="0" collapsed="false">
      <c r="A18" s="11" t="s">
        <v>88</v>
      </c>
      <c r="B18" s="7" t="n">
        <v>718</v>
      </c>
      <c r="C18" s="7" t="n">
        <v>241</v>
      </c>
      <c r="D18" s="7" t="n">
        <v>113</v>
      </c>
      <c r="E18" s="7" t="n">
        <v>68</v>
      </c>
      <c r="F18" s="7" t="n">
        <v>22</v>
      </c>
      <c r="G18" s="7" t="n">
        <v>21</v>
      </c>
      <c r="H18" s="7" t="n">
        <v>370</v>
      </c>
      <c r="I18" s="7" t="n">
        <v>160</v>
      </c>
      <c r="J18" s="7" t="n">
        <v>62</v>
      </c>
      <c r="K18" s="7" t="n">
        <v>42</v>
      </c>
      <c r="L18" s="7" t="n">
        <v>13</v>
      </c>
      <c r="M18" s="7" t="n">
        <v>12</v>
      </c>
      <c r="N18" s="7" t="n">
        <v>348</v>
      </c>
      <c r="O18" s="7" t="n">
        <v>81</v>
      </c>
      <c r="P18" s="7" t="n">
        <v>51</v>
      </c>
      <c r="Q18" s="7" t="n">
        <v>26</v>
      </c>
      <c r="R18" s="7" t="n">
        <v>9</v>
      </c>
      <c r="S18" s="7" t="n">
        <v>9</v>
      </c>
      <c r="T18" s="11" t="s">
        <v>89</v>
      </c>
    </row>
    <row r="19" customFormat="false" ht="15" hidden="false" customHeight="false" outlineLevel="0" collapsed="false">
      <c r="A19" s="11" t="s">
        <v>90</v>
      </c>
      <c r="B19" s="7" t="n">
        <v>442</v>
      </c>
      <c r="C19" s="7" t="n">
        <v>111</v>
      </c>
      <c r="D19" s="7" t="n">
        <v>182</v>
      </c>
      <c r="E19" s="7" t="n">
        <v>58</v>
      </c>
      <c r="F19" s="7" t="n">
        <v>64</v>
      </c>
      <c r="G19" s="7" t="n">
        <v>31</v>
      </c>
      <c r="H19" s="7" t="n">
        <v>269</v>
      </c>
      <c r="I19" s="7" t="n">
        <v>63</v>
      </c>
      <c r="J19" s="7" t="n">
        <v>122</v>
      </c>
      <c r="K19" s="7" t="n">
        <v>32</v>
      </c>
      <c r="L19" s="7" t="n">
        <v>45</v>
      </c>
      <c r="M19" s="7" t="n">
        <v>18</v>
      </c>
      <c r="N19" s="7" t="n">
        <v>173</v>
      </c>
      <c r="O19" s="7" t="n">
        <v>48</v>
      </c>
      <c r="P19" s="7" t="n">
        <v>60</v>
      </c>
      <c r="Q19" s="7" t="n">
        <v>26</v>
      </c>
      <c r="R19" s="7" t="n">
        <v>19</v>
      </c>
      <c r="S19" s="7" t="n">
        <v>13</v>
      </c>
      <c r="T19" s="11" t="s">
        <v>91</v>
      </c>
    </row>
    <row r="20" customFormat="false" ht="15" hidden="false" customHeight="false" outlineLevel="0" collapsed="false">
      <c r="A20" s="11" t="s">
        <v>92</v>
      </c>
      <c r="B20" s="7" t="n">
        <v>176</v>
      </c>
      <c r="C20" s="7" t="n">
        <v>51</v>
      </c>
      <c r="D20" s="7" t="n">
        <v>60</v>
      </c>
      <c r="E20" s="7" t="n">
        <v>23</v>
      </c>
      <c r="F20" s="7" t="n">
        <v>22</v>
      </c>
      <c r="G20" s="7" t="n">
        <v>11</v>
      </c>
      <c r="H20" s="7" t="n">
        <v>136</v>
      </c>
      <c r="I20" s="7" t="n">
        <v>32</v>
      </c>
      <c r="J20" s="7" t="n">
        <v>50</v>
      </c>
      <c r="K20" s="7" t="n">
        <v>16</v>
      </c>
      <c r="L20" s="7" t="n">
        <v>17</v>
      </c>
      <c r="M20" s="7" t="n">
        <v>8</v>
      </c>
      <c r="N20" s="7" t="n">
        <v>40</v>
      </c>
      <c r="O20" s="7" t="n">
        <v>19</v>
      </c>
      <c r="P20" s="7" t="n">
        <v>10</v>
      </c>
      <c r="Q20" s="7" t="n">
        <v>7</v>
      </c>
      <c r="R20" s="7" t="n">
        <v>5</v>
      </c>
      <c r="S20" s="7" t="n">
        <v>3</v>
      </c>
      <c r="T20" s="11" t="s">
        <v>93</v>
      </c>
    </row>
    <row r="21" customFormat="false" ht="15" hidden="false" customHeight="false" outlineLevel="0" collapsed="false">
      <c r="A21" s="11" t="s">
        <v>94</v>
      </c>
      <c r="B21" s="7" t="n">
        <v>277</v>
      </c>
      <c r="C21" s="7" t="n">
        <v>77</v>
      </c>
      <c r="D21" s="7" t="n">
        <v>93</v>
      </c>
      <c r="E21" s="7" t="n">
        <v>41</v>
      </c>
      <c r="F21" s="7" t="n">
        <v>36</v>
      </c>
      <c r="G21" s="7" t="n">
        <v>22</v>
      </c>
      <c r="H21" s="7" t="n">
        <v>170</v>
      </c>
      <c r="I21" s="7" t="n">
        <v>47</v>
      </c>
      <c r="J21" s="7" t="n">
        <v>57</v>
      </c>
      <c r="K21" s="7" t="n">
        <v>28</v>
      </c>
      <c r="L21" s="7" t="n">
        <v>23</v>
      </c>
      <c r="M21" s="7" t="n">
        <v>14</v>
      </c>
      <c r="N21" s="7" t="n">
        <v>107</v>
      </c>
      <c r="O21" s="7" t="n">
        <v>30</v>
      </c>
      <c r="P21" s="7" t="n">
        <v>36</v>
      </c>
      <c r="Q21" s="7" t="n">
        <v>13</v>
      </c>
      <c r="R21" s="7" t="n">
        <v>13</v>
      </c>
      <c r="S21" s="7" t="n">
        <v>8</v>
      </c>
      <c r="T21" s="11" t="s">
        <v>95</v>
      </c>
    </row>
    <row r="22" customFormat="false" ht="15" hidden="false" customHeight="false" outlineLevel="0" collapsed="false">
      <c r="A22" s="11" t="s">
        <v>96</v>
      </c>
      <c r="B22" s="7" t="n">
        <v>297</v>
      </c>
      <c r="C22" s="7" t="n">
        <v>112</v>
      </c>
      <c r="D22" s="7" t="n">
        <v>73</v>
      </c>
      <c r="E22" s="7" t="n">
        <v>42</v>
      </c>
      <c r="F22" s="7" t="n">
        <v>21</v>
      </c>
      <c r="G22" s="7" t="n">
        <v>16</v>
      </c>
      <c r="H22" s="7" t="n">
        <v>160</v>
      </c>
      <c r="I22" s="7" t="n">
        <v>65</v>
      </c>
      <c r="J22" s="7" t="n">
        <v>44</v>
      </c>
      <c r="K22" s="7" t="n">
        <v>25</v>
      </c>
      <c r="L22" s="7" t="n">
        <v>13</v>
      </c>
      <c r="M22" s="7" t="n">
        <v>9</v>
      </c>
      <c r="N22" s="7" t="n">
        <v>137</v>
      </c>
      <c r="O22" s="7" t="n">
        <v>47</v>
      </c>
      <c r="P22" s="7" t="n">
        <v>29</v>
      </c>
      <c r="Q22" s="7" t="n">
        <v>17</v>
      </c>
      <c r="R22" s="7" t="n">
        <v>8</v>
      </c>
      <c r="S22" s="7" t="n">
        <v>7</v>
      </c>
      <c r="T22" s="11" t="s">
        <v>68</v>
      </c>
    </row>
    <row r="23" customFormat="false" ht="15" hidden="false" customHeight="false" outlineLevel="0" collapsed="false">
      <c r="A23" s="11" t="s">
        <v>97</v>
      </c>
      <c r="B23" s="7" t="n">
        <v>353</v>
      </c>
      <c r="C23" s="7" t="n">
        <v>119</v>
      </c>
      <c r="D23" s="7" t="n">
        <v>44</v>
      </c>
      <c r="E23" s="7" t="n">
        <v>34</v>
      </c>
      <c r="F23" s="7" t="n">
        <v>11</v>
      </c>
      <c r="G23" s="7" t="n">
        <v>10</v>
      </c>
      <c r="H23" s="7" t="n">
        <v>175</v>
      </c>
      <c r="I23" s="7" t="n">
        <v>74</v>
      </c>
      <c r="J23" s="7" t="n">
        <v>27</v>
      </c>
      <c r="K23" s="7" t="n">
        <v>19</v>
      </c>
      <c r="L23" s="7" t="n">
        <v>7</v>
      </c>
      <c r="M23" s="7" t="n">
        <v>7</v>
      </c>
      <c r="N23" s="7" t="n">
        <v>178</v>
      </c>
      <c r="O23" s="7" t="n">
        <v>45</v>
      </c>
      <c r="P23" s="7" t="n">
        <v>17</v>
      </c>
      <c r="Q23" s="7" t="n">
        <v>15</v>
      </c>
      <c r="R23" s="7" t="n">
        <v>4</v>
      </c>
      <c r="S23" s="7" t="n">
        <v>3</v>
      </c>
      <c r="T23" s="11" t="s">
        <v>76</v>
      </c>
    </row>
    <row r="24" customFormat="false" ht="15" hidden="false" customHeight="false" outlineLevel="0" collapsed="false">
      <c r="A24" s="11" t="s">
        <v>98</v>
      </c>
      <c r="B24" s="7" t="n">
        <v>320</v>
      </c>
      <c r="C24" s="7" t="n">
        <v>97</v>
      </c>
      <c r="D24" s="7" t="n">
        <v>42</v>
      </c>
      <c r="E24" s="7" t="n">
        <v>26</v>
      </c>
      <c r="F24" s="7" t="n">
        <v>14</v>
      </c>
      <c r="G24" s="7" t="n">
        <v>13</v>
      </c>
      <c r="H24" s="7" t="n">
        <v>205</v>
      </c>
      <c r="I24" s="7" t="n">
        <v>50</v>
      </c>
      <c r="J24" s="7" t="n">
        <v>31</v>
      </c>
      <c r="K24" s="7" t="n">
        <v>15</v>
      </c>
      <c r="L24" s="7" t="n">
        <v>8</v>
      </c>
      <c r="M24" s="7" t="n">
        <v>7</v>
      </c>
      <c r="N24" s="7" t="n">
        <v>115</v>
      </c>
      <c r="O24" s="7" t="n">
        <v>47</v>
      </c>
      <c r="P24" s="7" t="n">
        <v>11</v>
      </c>
      <c r="Q24" s="7" t="n">
        <v>11</v>
      </c>
      <c r="R24" s="7" t="n">
        <v>6</v>
      </c>
      <c r="S24" s="7" t="n">
        <v>6</v>
      </c>
      <c r="T24" s="11" t="s">
        <v>78</v>
      </c>
    </row>
    <row r="25" customFormat="false" ht="15" hidden="false" customHeight="false" outlineLevel="0" collapsed="false">
      <c r="A25" s="11" t="s">
        <v>99</v>
      </c>
      <c r="B25" s="7" t="n">
        <v>110</v>
      </c>
      <c r="C25" s="7" t="n">
        <v>41</v>
      </c>
      <c r="D25" s="7" t="n">
        <v>22</v>
      </c>
      <c r="E25" s="7" t="n">
        <v>7</v>
      </c>
      <c r="F25" s="7" t="n">
        <v>6</v>
      </c>
      <c r="G25" s="7" t="n">
        <v>2</v>
      </c>
      <c r="H25" s="7" t="n">
        <v>42</v>
      </c>
      <c r="I25" s="7" t="n">
        <v>16</v>
      </c>
      <c r="J25" s="7" t="n">
        <v>18</v>
      </c>
      <c r="K25" s="7" t="n">
        <v>3</v>
      </c>
      <c r="L25" s="7" t="n">
        <v>5</v>
      </c>
      <c r="M25" s="7" t="n">
        <v>1</v>
      </c>
      <c r="N25" s="7" t="n">
        <v>68</v>
      </c>
      <c r="O25" s="7" t="n">
        <v>25</v>
      </c>
      <c r="P25" s="7" t="n">
        <v>4</v>
      </c>
      <c r="Q25" s="7" t="n">
        <v>4</v>
      </c>
      <c r="R25" s="7" t="n">
        <v>1</v>
      </c>
      <c r="S25" s="7" t="n">
        <v>1</v>
      </c>
      <c r="T25" s="11" t="s">
        <v>76</v>
      </c>
    </row>
    <row r="26" customFormat="false" ht="15" hidden="false" customHeight="false" outlineLevel="0" collapsed="false">
      <c r="A26" s="11" t="s">
        <v>100</v>
      </c>
      <c r="B26" s="7" t="n">
        <v>746</v>
      </c>
      <c r="C26" s="7" t="n">
        <v>207</v>
      </c>
      <c r="D26" s="7" t="n">
        <v>222</v>
      </c>
      <c r="E26" s="7" t="n">
        <v>102</v>
      </c>
      <c r="F26" s="7" t="n">
        <v>68</v>
      </c>
      <c r="G26" s="7" t="n">
        <v>42</v>
      </c>
      <c r="H26" s="7" t="n">
        <v>305</v>
      </c>
      <c r="I26" s="7" t="n">
        <v>111</v>
      </c>
      <c r="J26" s="7" t="n">
        <v>113</v>
      </c>
      <c r="K26" s="7" t="n">
        <v>57</v>
      </c>
      <c r="L26" s="7" t="n">
        <v>33</v>
      </c>
      <c r="M26" s="7" t="n">
        <v>24</v>
      </c>
      <c r="N26" s="7" t="n">
        <v>441</v>
      </c>
      <c r="O26" s="7" t="n">
        <v>96</v>
      </c>
      <c r="P26" s="7" t="n">
        <v>109</v>
      </c>
      <c r="Q26" s="7" t="n">
        <v>45</v>
      </c>
      <c r="R26" s="7" t="n">
        <v>35</v>
      </c>
      <c r="S26" s="7" t="n">
        <v>18</v>
      </c>
      <c r="T26" s="11" t="s">
        <v>101</v>
      </c>
    </row>
    <row r="27" customFormat="false" ht="15" hidden="false" customHeight="false" outlineLevel="0" collapsed="false">
      <c r="A27" s="11" t="s">
        <v>102</v>
      </c>
      <c r="B27" s="7" t="n">
        <v>395</v>
      </c>
      <c r="C27" s="7" t="n">
        <v>93</v>
      </c>
      <c r="D27" s="7" t="n">
        <v>89</v>
      </c>
      <c r="E27" s="7" t="n">
        <v>37</v>
      </c>
      <c r="F27" s="7" t="n">
        <v>22</v>
      </c>
      <c r="G27" s="7" t="n">
        <v>14</v>
      </c>
      <c r="H27" s="7" t="n">
        <v>215</v>
      </c>
      <c r="I27" s="7" t="n">
        <v>46</v>
      </c>
      <c r="J27" s="7" t="n">
        <v>59</v>
      </c>
      <c r="K27" s="7" t="n">
        <v>18</v>
      </c>
      <c r="L27" s="7" t="n">
        <v>19</v>
      </c>
      <c r="M27" s="7" t="n">
        <v>11</v>
      </c>
      <c r="N27" s="7" t="n">
        <v>180</v>
      </c>
      <c r="O27" s="7" t="n">
        <v>47</v>
      </c>
      <c r="P27" s="7" t="n">
        <v>30</v>
      </c>
      <c r="Q27" s="7" t="n">
        <v>19</v>
      </c>
      <c r="R27" s="7" t="n">
        <v>3</v>
      </c>
      <c r="S27" s="7" t="n">
        <v>3</v>
      </c>
      <c r="T27" s="11" t="s">
        <v>103</v>
      </c>
    </row>
    <row r="28" customFormat="false" ht="15" hidden="false" customHeight="false" outlineLevel="0" collapsed="false">
      <c r="A28" s="11" t="s">
        <v>104</v>
      </c>
      <c r="B28" s="7" t="n">
        <v>387</v>
      </c>
      <c r="C28" s="7" t="n">
        <v>123</v>
      </c>
      <c r="D28" s="7" t="n">
        <v>102</v>
      </c>
      <c r="E28" s="7" t="n">
        <v>52</v>
      </c>
      <c r="F28" s="7" t="n">
        <v>30</v>
      </c>
      <c r="G28" s="7" t="n">
        <v>25</v>
      </c>
      <c r="H28" s="7" t="n">
        <v>220</v>
      </c>
      <c r="I28" s="7" t="n">
        <v>72</v>
      </c>
      <c r="J28" s="7" t="n">
        <v>59</v>
      </c>
      <c r="K28" s="7" t="n">
        <v>28</v>
      </c>
      <c r="L28" s="7" t="n">
        <v>18</v>
      </c>
      <c r="M28" s="7" t="n">
        <v>13</v>
      </c>
      <c r="N28" s="7" t="n">
        <v>167</v>
      </c>
      <c r="O28" s="7" t="n">
        <v>51</v>
      </c>
      <c r="P28" s="7" t="n">
        <v>43</v>
      </c>
      <c r="Q28" s="7" t="n">
        <v>24</v>
      </c>
      <c r="R28" s="7" t="n">
        <v>12</v>
      </c>
      <c r="S28" s="7" t="n">
        <v>12</v>
      </c>
      <c r="T28" s="11" t="s">
        <v>95</v>
      </c>
    </row>
    <row r="29" customFormat="false" ht="15" hidden="false" customHeight="false" outlineLevel="0" collapsed="false">
      <c r="A29" s="11" t="s">
        <v>105</v>
      </c>
      <c r="B29" s="7" t="n">
        <v>168</v>
      </c>
      <c r="C29" s="7" t="n">
        <v>61</v>
      </c>
      <c r="D29" s="7" t="n">
        <v>82</v>
      </c>
      <c r="E29" s="7" t="n">
        <v>36</v>
      </c>
      <c r="F29" s="7" t="n">
        <v>36</v>
      </c>
      <c r="G29" s="7" t="n">
        <v>21</v>
      </c>
      <c r="H29" s="7" t="n">
        <v>137</v>
      </c>
      <c r="I29" s="7" t="n">
        <v>47</v>
      </c>
      <c r="J29" s="7" t="n">
        <v>75</v>
      </c>
      <c r="K29" s="7" t="n">
        <v>32</v>
      </c>
      <c r="L29" s="7" t="n">
        <v>34</v>
      </c>
      <c r="M29" s="7" t="n">
        <v>19</v>
      </c>
      <c r="N29" s="7" t="n">
        <v>31</v>
      </c>
      <c r="O29" s="7" t="n">
        <v>14</v>
      </c>
      <c r="P29" s="7" t="n">
        <v>7</v>
      </c>
      <c r="Q29" s="7" t="n">
        <v>4</v>
      </c>
      <c r="R29" s="7" t="n">
        <v>2</v>
      </c>
      <c r="S29" s="7" t="n">
        <v>2</v>
      </c>
      <c r="T29" s="11" t="s">
        <v>66</v>
      </c>
    </row>
    <row r="30" customFormat="false" ht="15" hidden="false" customHeight="false" outlineLevel="0" collapsed="false">
      <c r="A30" s="11" t="s">
        <v>106</v>
      </c>
      <c r="B30" s="7" t="n">
        <v>69</v>
      </c>
      <c r="C30" s="7" t="n">
        <v>37</v>
      </c>
      <c r="D30" s="7" t="n">
        <v>13</v>
      </c>
      <c r="E30" s="7" t="n">
        <v>9</v>
      </c>
      <c r="F30" s="7" t="n">
        <v>4</v>
      </c>
      <c r="G30" s="7" t="n">
        <v>4</v>
      </c>
      <c r="H30" s="7" t="n">
        <v>33</v>
      </c>
      <c r="I30" s="7" t="n">
        <v>18</v>
      </c>
      <c r="J30" s="7" t="n">
        <v>11</v>
      </c>
      <c r="K30" s="7" t="n">
        <v>7</v>
      </c>
      <c r="L30" s="7" t="n">
        <v>3</v>
      </c>
      <c r="M30" s="7" t="n">
        <v>3</v>
      </c>
      <c r="N30" s="7" t="n">
        <v>36</v>
      </c>
      <c r="O30" s="7" t="n">
        <v>19</v>
      </c>
      <c r="P30" s="7" t="n">
        <v>2</v>
      </c>
      <c r="Q30" s="7" t="n">
        <v>2</v>
      </c>
      <c r="R30" s="7" t="n">
        <v>1</v>
      </c>
      <c r="S30" s="7" t="n">
        <v>1</v>
      </c>
      <c r="T30" s="11" t="s">
        <v>70</v>
      </c>
    </row>
    <row r="31" customFormat="false" ht="15" hidden="false" customHeight="false" outlineLevel="0" collapsed="false">
      <c r="A31" s="11" t="s">
        <v>107</v>
      </c>
      <c r="B31" s="7" t="n">
        <v>779</v>
      </c>
      <c r="C31" s="7" t="n">
        <v>181</v>
      </c>
      <c r="D31" s="7" t="n">
        <v>192</v>
      </c>
      <c r="E31" s="7" t="n">
        <v>77</v>
      </c>
      <c r="F31" s="7" t="n">
        <v>54</v>
      </c>
      <c r="G31" s="7" t="n">
        <v>32</v>
      </c>
      <c r="H31" s="7" t="n">
        <v>436</v>
      </c>
      <c r="I31" s="7" t="n">
        <v>109</v>
      </c>
      <c r="J31" s="7" t="n">
        <v>109</v>
      </c>
      <c r="K31" s="7" t="n">
        <v>49</v>
      </c>
      <c r="L31" s="7" t="n">
        <v>26</v>
      </c>
      <c r="M31" s="7" t="n">
        <v>19</v>
      </c>
      <c r="N31" s="7" t="n">
        <v>343</v>
      </c>
      <c r="O31" s="7" t="n">
        <v>72</v>
      </c>
      <c r="P31" s="7" t="n">
        <v>83</v>
      </c>
      <c r="Q31" s="7" t="n">
        <v>28</v>
      </c>
      <c r="R31" s="7" t="n">
        <v>28</v>
      </c>
      <c r="S31" s="7" t="n">
        <v>13</v>
      </c>
      <c r="T31" s="11" t="s">
        <v>108</v>
      </c>
    </row>
    <row r="32" customFormat="false" ht="15" hidden="false" customHeight="false" outlineLevel="0" collapsed="false">
      <c r="A32" s="11" t="s">
        <v>109</v>
      </c>
      <c r="B32" s="7" t="n">
        <v>53</v>
      </c>
      <c r="C32" s="7" t="n">
        <v>18</v>
      </c>
      <c r="D32" s="7" t="n">
        <v>26</v>
      </c>
      <c r="E32" s="7" t="n">
        <v>10</v>
      </c>
      <c r="F32" s="7" t="n">
        <v>9</v>
      </c>
      <c r="G32" s="7" t="n">
        <v>4</v>
      </c>
      <c r="H32" s="7" t="n">
        <v>19</v>
      </c>
      <c r="I32" s="7" t="n">
        <v>9</v>
      </c>
      <c r="J32" s="7" t="n">
        <v>9</v>
      </c>
      <c r="K32" s="7" t="n">
        <v>5</v>
      </c>
      <c r="L32" s="7" t="n">
        <v>4</v>
      </c>
      <c r="M32" s="7" t="n">
        <v>2</v>
      </c>
      <c r="N32" s="7" t="n">
        <v>34</v>
      </c>
      <c r="O32" s="7" t="n">
        <v>9</v>
      </c>
      <c r="P32" s="7" t="n">
        <v>17</v>
      </c>
      <c r="Q32" s="7" t="n">
        <v>5</v>
      </c>
      <c r="R32" s="7" t="n">
        <v>5</v>
      </c>
      <c r="S32" s="7" t="n">
        <v>2</v>
      </c>
      <c r="T32" s="11" t="s">
        <v>86</v>
      </c>
    </row>
    <row r="33" customFormat="false" ht="15" hidden="false" customHeight="false" outlineLevel="0" collapsed="false">
      <c r="A33" s="11" t="s">
        <v>110</v>
      </c>
      <c r="B33" s="7" t="n">
        <v>142</v>
      </c>
      <c r="C33" s="7" t="n">
        <v>34</v>
      </c>
      <c r="D33" s="7" t="n">
        <v>36</v>
      </c>
      <c r="E33" s="7" t="n">
        <v>20</v>
      </c>
      <c r="F33" s="7" t="n">
        <v>13</v>
      </c>
      <c r="G33" s="7" t="n">
        <v>9</v>
      </c>
      <c r="H33" s="7" t="n">
        <v>98</v>
      </c>
      <c r="I33" s="7" t="n">
        <v>22</v>
      </c>
      <c r="J33" s="7" t="n">
        <v>25</v>
      </c>
      <c r="K33" s="7" t="n">
        <v>12</v>
      </c>
      <c r="L33" s="7" t="n">
        <v>11</v>
      </c>
      <c r="M33" s="7" t="n">
        <v>7</v>
      </c>
      <c r="N33" s="7" t="n">
        <v>44</v>
      </c>
      <c r="O33" s="7" t="n">
        <v>12</v>
      </c>
      <c r="P33" s="7" t="n">
        <v>11</v>
      </c>
      <c r="Q33" s="7" t="n">
        <v>8</v>
      </c>
      <c r="R33" s="7" t="n">
        <v>2</v>
      </c>
      <c r="S33" s="7" t="n">
        <v>2</v>
      </c>
      <c r="T33" s="11" t="s">
        <v>93</v>
      </c>
    </row>
    <row r="34" customFormat="false" ht="15" hidden="false" customHeight="false" outlineLevel="0" collapsed="false">
      <c r="A34" s="11" t="s">
        <v>111</v>
      </c>
      <c r="B34" s="7" t="n">
        <v>92</v>
      </c>
      <c r="C34" s="7" t="n">
        <v>26</v>
      </c>
      <c r="D34" s="7" t="n">
        <v>19</v>
      </c>
      <c r="E34" s="7" t="n">
        <v>9</v>
      </c>
      <c r="F34" s="7" t="n">
        <v>7</v>
      </c>
      <c r="G34" s="7" t="n">
        <v>4</v>
      </c>
      <c r="H34" s="7" t="n">
        <v>40</v>
      </c>
      <c r="I34" s="7" t="n">
        <v>9</v>
      </c>
      <c r="J34" s="7" t="n">
        <v>14</v>
      </c>
      <c r="K34" s="7" t="n">
        <v>4</v>
      </c>
      <c r="L34" s="7" t="n">
        <v>6</v>
      </c>
      <c r="M34" s="7" t="n">
        <v>3</v>
      </c>
      <c r="N34" s="7" t="n">
        <v>52</v>
      </c>
      <c r="O34" s="7" t="n">
        <v>17</v>
      </c>
      <c r="P34" s="7" t="n">
        <v>5</v>
      </c>
      <c r="Q34" s="7" t="n">
        <v>5</v>
      </c>
      <c r="R34" s="7" t="n">
        <v>1</v>
      </c>
      <c r="S34" s="7" t="n">
        <v>1</v>
      </c>
      <c r="T34" s="11" t="s">
        <v>76</v>
      </c>
    </row>
    <row r="35" customFormat="false" ht="15" hidden="false" customHeight="false" outlineLevel="0" collapsed="false">
      <c r="A35" s="11" t="s">
        <v>112</v>
      </c>
      <c r="B35" s="7" t="n">
        <v>428</v>
      </c>
      <c r="C35" s="7" t="n">
        <v>142</v>
      </c>
      <c r="D35" s="7" t="n">
        <v>62</v>
      </c>
      <c r="E35" s="7" t="n">
        <v>42</v>
      </c>
      <c r="F35" s="7" t="n">
        <v>21</v>
      </c>
      <c r="G35" s="7" t="n">
        <v>17</v>
      </c>
      <c r="H35" s="7" t="n">
        <v>227</v>
      </c>
      <c r="I35" s="7" t="n">
        <v>97</v>
      </c>
      <c r="J35" s="7" t="n">
        <v>39</v>
      </c>
      <c r="K35" s="7" t="n">
        <v>30</v>
      </c>
      <c r="L35" s="7" t="n">
        <v>12</v>
      </c>
      <c r="M35" s="7" t="n">
        <v>11</v>
      </c>
      <c r="N35" s="7" t="n">
        <v>201</v>
      </c>
      <c r="O35" s="7" t="n">
        <v>45</v>
      </c>
      <c r="P35" s="7" t="n">
        <v>23</v>
      </c>
      <c r="Q35" s="7" t="n">
        <v>12</v>
      </c>
      <c r="R35" s="7" t="n">
        <v>9</v>
      </c>
      <c r="S35" s="7" t="n">
        <v>6</v>
      </c>
      <c r="T35" s="11" t="s">
        <v>113</v>
      </c>
    </row>
    <row r="36" customFormat="false" ht="15" hidden="false" customHeight="false" outlineLevel="0" collapsed="false">
      <c r="A36" s="11" t="s">
        <v>114</v>
      </c>
      <c r="B36" s="7" t="n">
        <v>86</v>
      </c>
      <c r="C36" s="7" t="n">
        <v>30</v>
      </c>
      <c r="D36" s="7" t="n">
        <v>10</v>
      </c>
      <c r="E36" s="7" t="n">
        <v>9</v>
      </c>
      <c r="F36" s="7" t="n">
        <v>5</v>
      </c>
      <c r="G36" s="7" t="n">
        <v>5</v>
      </c>
      <c r="H36" s="7" t="n">
        <v>50</v>
      </c>
      <c r="I36" s="7" t="n">
        <v>19</v>
      </c>
      <c r="J36" s="7" t="n">
        <v>8</v>
      </c>
      <c r="K36" s="7" t="n">
        <v>7</v>
      </c>
      <c r="L36" s="7" t="n">
        <v>5</v>
      </c>
      <c r="M36" s="7" t="n">
        <v>5</v>
      </c>
      <c r="N36" s="7" t="n">
        <v>36</v>
      </c>
      <c r="O36" s="7" t="n">
        <v>11</v>
      </c>
      <c r="P36" s="7" t="n">
        <v>2</v>
      </c>
      <c r="Q36" s="7" t="n">
        <v>2</v>
      </c>
      <c r="R36" s="7" t="n">
        <v>0</v>
      </c>
      <c r="S36" s="7" t="n">
        <v>0</v>
      </c>
      <c r="T36" s="11" t="s">
        <v>93</v>
      </c>
    </row>
    <row r="37" customFormat="false" ht="15" hidden="false" customHeight="false" outlineLevel="0" collapsed="false">
      <c r="A37" s="11" t="s">
        <v>115</v>
      </c>
      <c r="B37" s="7" t="n">
        <v>150</v>
      </c>
      <c r="C37" s="7" t="n">
        <v>55</v>
      </c>
      <c r="D37" s="7" t="n">
        <v>32</v>
      </c>
      <c r="E37" s="7" t="n">
        <v>15</v>
      </c>
      <c r="F37" s="7" t="n">
        <v>10</v>
      </c>
      <c r="G37" s="7" t="n">
        <v>7</v>
      </c>
      <c r="H37" s="12" t="n">
        <v>115</v>
      </c>
      <c r="I37" s="7" t="n">
        <v>40</v>
      </c>
      <c r="J37" s="7" t="n">
        <v>28</v>
      </c>
      <c r="K37" s="7" t="n">
        <v>12</v>
      </c>
      <c r="L37" s="7" t="n">
        <v>9</v>
      </c>
      <c r="M37" s="7" t="n">
        <v>6</v>
      </c>
      <c r="N37" s="7" t="n">
        <v>35</v>
      </c>
      <c r="O37" s="7" t="n">
        <v>15</v>
      </c>
      <c r="P37" s="7" t="n">
        <v>4</v>
      </c>
      <c r="Q37" s="7" t="n">
        <v>3</v>
      </c>
      <c r="R37" s="7" t="n">
        <v>1</v>
      </c>
      <c r="S37" s="7" t="n">
        <v>1</v>
      </c>
      <c r="T37" s="11" t="s">
        <v>70</v>
      </c>
    </row>
    <row r="38" customFormat="false" ht="15" hidden="false" customHeight="false" outlineLevel="0" collapsed="false">
      <c r="A38" s="11" t="s">
        <v>116</v>
      </c>
      <c r="B38" s="7" t="n">
        <v>1030</v>
      </c>
      <c r="C38" s="7" t="n">
        <v>404</v>
      </c>
      <c r="D38" s="7" t="n">
        <v>188</v>
      </c>
      <c r="E38" s="7" t="n">
        <v>135</v>
      </c>
      <c r="F38" s="7" t="n">
        <v>78</v>
      </c>
      <c r="G38" s="7" t="n">
        <v>67</v>
      </c>
      <c r="H38" s="7" t="n">
        <v>616</v>
      </c>
      <c r="I38" s="7" t="n">
        <v>255</v>
      </c>
      <c r="J38" s="7" t="n">
        <v>122</v>
      </c>
      <c r="K38" s="7" t="n">
        <v>84</v>
      </c>
      <c r="L38" s="7" t="n">
        <v>53</v>
      </c>
      <c r="M38" s="7" t="n">
        <v>43</v>
      </c>
      <c r="N38" s="7" t="n">
        <v>414</v>
      </c>
      <c r="O38" s="7" t="n">
        <v>149</v>
      </c>
      <c r="P38" s="7" t="n">
        <v>66</v>
      </c>
      <c r="Q38" s="7" t="n">
        <v>51</v>
      </c>
      <c r="R38" s="7" t="n">
        <v>25</v>
      </c>
      <c r="S38" s="7" t="n">
        <v>24</v>
      </c>
      <c r="T38" s="11" t="s">
        <v>117</v>
      </c>
    </row>
    <row r="39" customFormat="false" ht="15" hidden="false" customHeight="false" outlineLevel="0" collapsed="false">
      <c r="A39" s="11" t="s">
        <v>118</v>
      </c>
      <c r="B39" s="7" t="n">
        <v>795</v>
      </c>
      <c r="C39" s="7" t="n">
        <v>178</v>
      </c>
      <c r="D39" s="7" t="n">
        <v>268</v>
      </c>
      <c r="E39" s="7" t="n">
        <v>96</v>
      </c>
      <c r="F39" s="7" t="n">
        <v>106</v>
      </c>
      <c r="G39" s="7" t="n">
        <v>47</v>
      </c>
      <c r="H39" s="7" t="n">
        <v>448</v>
      </c>
      <c r="I39" s="7" t="n">
        <v>104</v>
      </c>
      <c r="J39" s="7" t="n">
        <v>160</v>
      </c>
      <c r="K39" s="7" t="n">
        <v>54</v>
      </c>
      <c r="L39" s="7" t="n">
        <v>65</v>
      </c>
      <c r="M39" s="7" t="n">
        <v>24</v>
      </c>
      <c r="N39" s="7" t="n">
        <v>347</v>
      </c>
      <c r="O39" s="7" t="n">
        <v>74</v>
      </c>
      <c r="P39" s="7" t="n">
        <v>108</v>
      </c>
      <c r="Q39" s="7" t="n">
        <v>42</v>
      </c>
      <c r="R39" s="7" t="n">
        <v>41</v>
      </c>
      <c r="S39" s="7" t="n">
        <v>23</v>
      </c>
      <c r="T39" s="11" t="s">
        <v>119</v>
      </c>
    </row>
    <row r="40" customFormat="false" ht="15" hidden="false" customHeight="false" outlineLevel="0" collapsed="false">
      <c r="A40" s="11" t="s">
        <v>120</v>
      </c>
      <c r="B40" s="7" t="n">
        <v>193</v>
      </c>
      <c r="C40" s="7" t="n">
        <v>83</v>
      </c>
      <c r="D40" s="7" t="n">
        <v>44</v>
      </c>
      <c r="E40" s="7" t="n">
        <v>35</v>
      </c>
      <c r="F40" s="7" t="n">
        <v>17</v>
      </c>
      <c r="G40" s="7" t="n">
        <v>14</v>
      </c>
      <c r="H40" s="7" t="n">
        <v>108</v>
      </c>
      <c r="I40" s="7" t="n">
        <v>46</v>
      </c>
      <c r="J40" s="7" t="n">
        <v>27</v>
      </c>
      <c r="K40" s="7" t="n">
        <v>21</v>
      </c>
      <c r="L40" s="7" t="n">
        <v>12</v>
      </c>
      <c r="M40" s="7" t="n">
        <v>10</v>
      </c>
      <c r="N40" s="7" t="n">
        <v>85</v>
      </c>
      <c r="O40" s="7" t="n">
        <v>37</v>
      </c>
      <c r="P40" s="7" t="n">
        <v>17</v>
      </c>
      <c r="Q40" s="7" t="n">
        <v>14</v>
      </c>
      <c r="R40" s="7" t="n">
        <v>5</v>
      </c>
      <c r="S40" s="7" t="n">
        <v>4</v>
      </c>
      <c r="T40" s="11" t="s">
        <v>93</v>
      </c>
    </row>
    <row r="41" customFormat="false" ht="15" hidden="false" customHeight="false" outlineLevel="0" collapsed="false">
      <c r="A41" s="11" t="s">
        <v>121</v>
      </c>
      <c r="B41" s="7" t="n">
        <v>304</v>
      </c>
      <c r="C41" s="7" t="n">
        <v>92</v>
      </c>
      <c r="D41" s="7" t="n">
        <v>49</v>
      </c>
      <c r="E41" s="7" t="n">
        <v>23</v>
      </c>
      <c r="F41" s="7" t="n">
        <v>15</v>
      </c>
      <c r="G41" s="7" t="n">
        <v>11</v>
      </c>
      <c r="H41" s="7" t="n">
        <v>168</v>
      </c>
      <c r="I41" s="7" t="n">
        <v>42</v>
      </c>
      <c r="J41" s="7" t="n">
        <v>33</v>
      </c>
      <c r="K41" s="7" t="n">
        <v>10</v>
      </c>
      <c r="L41" s="7" t="n">
        <v>11</v>
      </c>
      <c r="M41" s="7" t="n">
        <v>8</v>
      </c>
      <c r="N41" s="7" t="n">
        <v>136</v>
      </c>
      <c r="O41" s="7" t="n">
        <v>50</v>
      </c>
      <c r="P41" s="7" t="n">
        <v>16</v>
      </c>
      <c r="Q41" s="7" t="n">
        <v>13</v>
      </c>
      <c r="R41" s="7" t="n">
        <v>4</v>
      </c>
      <c r="S41" s="7" t="n">
        <v>3</v>
      </c>
      <c r="T41" s="11" t="s">
        <v>64</v>
      </c>
    </row>
    <row r="42" customFormat="false" ht="15" hidden="false" customHeight="false" outlineLevel="0" collapsed="false">
      <c r="A42" s="11" t="s">
        <v>122</v>
      </c>
      <c r="B42" s="7" t="n">
        <v>607</v>
      </c>
      <c r="C42" s="7" t="n">
        <v>196</v>
      </c>
      <c r="D42" s="7" t="n">
        <v>95</v>
      </c>
      <c r="E42" s="7" t="n">
        <v>50</v>
      </c>
      <c r="F42" s="7" t="n">
        <v>25</v>
      </c>
      <c r="G42" s="7" t="n">
        <v>20</v>
      </c>
      <c r="H42" s="7" t="n">
        <v>366</v>
      </c>
      <c r="I42" s="7" t="n">
        <v>126</v>
      </c>
      <c r="J42" s="7" t="n">
        <v>56</v>
      </c>
      <c r="K42" s="7" t="n">
        <v>32</v>
      </c>
      <c r="L42" s="7" t="n">
        <v>18</v>
      </c>
      <c r="M42" s="7" t="n">
        <v>14</v>
      </c>
      <c r="N42" s="7" t="n">
        <v>241</v>
      </c>
      <c r="O42" s="7" t="n">
        <v>70</v>
      </c>
      <c r="P42" s="7" t="n">
        <v>39</v>
      </c>
      <c r="Q42" s="7" t="n">
        <v>18</v>
      </c>
      <c r="R42" s="7" t="n">
        <v>7</v>
      </c>
      <c r="S42" s="7" t="n">
        <v>6</v>
      </c>
      <c r="T42" s="11" t="s">
        <v>113</v>
      </c>
    </row>
    <row r="43" customFormat="false" ht="15" hidden="false" customHeight="false" outlineLevel="0" collapsed="false">
      <c r="A43" s="11" t="s">
        <v>123</v>
      </c>
      <c r="B43" s="7" t="n">
        <v>77</v>
      </c>
      <c r="C43" s="7" t="n">
        <v>19</v>
      </c>
      <c r="D43" s="7" t="n">
        <v>11</v>
      </c>
      <c r="E43" s="7" t="n">
        <v>6</v>
      </c>
      <c r="F43" s="7" t="n">
        <v>4</v>
      </c>
      <c r="G43" s="7" t="n">
        <v>4</v>
      </c>
      <c r="H43" s="7" t="n">
        <v>43</v>
      </c>
      <c r="I43" s="7" t="n">
        <v>12</v>
      </c>
      <c r="J43" s="7" t="n">
        <v>6</v>
      </c>
      <c r="K43" s="7" t="n">
        <v>3</v>
      </c>
      <c r="L43" s="7" t="n">
        <v>1</v>
      </c>
      <c r="M43" s="7" t="n">
        <v>1</v>
      </c>
      <c r="N43" s="7" t="n">
        <v>34</v>
      </c>
      <c r="O43" s="7" t="n">
        <v>7</v>
      </c>
      <c r="P43" s="7" t="n">
        <v>5</v>
      </c>
      <c r="Q43" s="7" t="n">
        <v>3</v>
      </c>
      <c r="R43" s="7" t="n">
        <v>3</v>
      </c>
      <c r="S43" s="7" t="n">
        <v>3</v>
      </c>
      <c r="T43" s="11" t="s">
        <v>76</v>
      </c>
    </row>
    <row r="44" customFormat="false" ht="15" hidden="false" customHeight="false" outlineLevel="0" collapsed="false">
      <c r="A44" s="11" t="s">
        <v>124</v>
      </c>
      <c r="B44" s="7" t="n">
        <v>364</v>
      </c>
      <c r="C44" s="7" t="n">
        <v>97</v>
      </c>
      <c r="D44" s="7" t="n">
        <v>98</v>
      </c>
      <c r="E44" s="7" t="n">
        <v>42</v>
      </c>
      <c r="F44" s="7" t="n">
        <v>24</v>
      </c>
      <c r="G44" s="7" t="n">
        <v>15</v>
      </c>
      <c r="H44" s="7" t="n">
        <v>207</v>
      </c>
      <c r="I44" s="7" t="n">
        <v>68</v>
      </c>
      <c r="J44" s="7" t="n">
        <v>58</v>
      </c>
      <c r="K44" s="7" t="n">
        <v>30</v>
      </c>
      <c r="L44" s="7" t="n">
        <v>17</v>
      </c>
      <c r="M44" s="7" t="n">
        <v>10</v>
      </c>
      <c r="N44" s="7" t="n">
        <v>157</v>
      </c>
      <c r="O44" s="7" t="n">
        <v>29</v>
      </c>
      <c r="P44" s="7" t="n">
        <v>40</v>
      </c>
      <c r="Q44" s="7" t="n">
        <v>12</v>
      </c>
      <c r="R44" s="7" t="n">
        <v>7</v>
      </c>
      <c r="S44" s="7" t="n">
        <v>5</v>
      </c>
      <c r="T44" s="11" t="s">
        <v>125</v>
      </c>
    </row>
    <row r="45" customFormat="false" ht="15" hidden="false" customHeight="false" outlineLevel="0" collapsed="false">
      <c r="A45" s="11" t="s">
        <v>126</v>
      </c>
      <c r="B45" s="7" t="n">
        <v>74</v>
      </c>
      <c r="C45" s="7" t="n">
        <v>19</v>
      </c>
      <c r="D45" s="7" t="n">
        <v>33</v>
      </c>
      <c r="E45" s="7" t="n">
        <v>10</v>
      </c>
      <c r="F45" s="7" t="n">
        <v>16</v>
      </c>
      <c r="G45" s="7" t="n">
        <v>5</v>
      </c>
      <c r="H45" s="7" t="n">
        <v>20</v>
      </c>
      <c r="I45" s="7" t="n">
        <v>9</v>
      </c>
      <c r="J45" s="7" t="n">
        <v>6</v>
      </c>
      <c r="K45" s="7" t="n">
        <v>3</v>
      </c>
      <c r="L45" s="7" t="n">
        <v>3</v>
      </c>
      <c r="M45" s="7" t="n">
        <v>1</v>
      </c>
      <c r="N45" s="7" t="n">
        <v>54</v>
      </c>
      <c r="O45" s="7" t="n">
        <v>10</v>
      </c>
      <c r="P45" s="7" t="n">
        <v>27</v>
      </c>
      <c r="Q45" s="7" t="n">
        <v>7</v>
      </c>
      <c r="R45" s="7" t="n">
        <v>13</v>
      </c>
      <c r="S45" s="7" t="n">
        <v>4</v>
      </c>
      <c r="T45" s="11" t="s">
        <v>86</v>
      </c>
    </row>
    <row r="46" customFormat="false" ht="15" hidden="false" customHeight="false" outlineLevel="0" collapsed="false">
      <c r="A46" s="11" t="s">
        <v>127</v>
      </c>
      <c r="B46" s="7" t="n">
        <v>401</v>
      </c>
      <c r="C46" s="7" t="n">
        <v>124</v>
      </c>
      <c r="D46" s="7" t="n">
        <v>110</v>
      </c>
      <c r="E46" s="7" t="n">
        <v>58</v>
      </c>
      <c r="F46" s="7" t="n">
        <v>36</v>
      </c>
      <c r="G46" s="7" t="n">
        <v>23</v>
      </c>
      <c r="H46" s="7" t="n">
        <v>242</v>
      </c>
      <c r="I46" s="7" t="n">
        <v>80</v>
      </c>
      <c r="J46" s="7" t="n">
        <v>72</v>
      </c>
      <c r="K46" s="7" t="n">
        <v>38</v>
      </c>
      <c r="L46" s="7" t="n">
        <v>26</v>
      </c>
      <c r="M46" s="7" t="n">
        <v>17</v>
      </c>
      <c r="N46" s="7" t="n">
        <v>159</v>
      </c>
      <c r="O46" s="7" t="n">
        <v>44</v>
      </c>
      <c r="P46" s="7" t="n">
        <v>38</v>
      </c>
      <c r="Q46" s="7" t="n">
        <v>20</v>
      </c>
      <c r="R46" s="7" t="n">
        <v>10</v>
      </c>
      <c r="S46" s="7" t="n">
        <v>6</v>
      </c>
      <c r="T46" s="11" t="s">
        <v>128</v>
      </c>
    </row>
    <row r="47" customFormat="false" ht="15" hidden="false" customHeight="false" outlineLevel="0" collapsed="false">
      <c r="A47" s="11" t="s">
        <v>129</v>
      </c>
      <c r="B47" s="7" t="n">
        <v>1660</v>
      </c>
      <c r="C47" s="7" t="n">
        <v>540</v>
      </c>
      <c r="D47" s="7" t="n">
        <v>473</v>
      </c>
      <c r="E47" s="7" t="n">
        <v>230</v>
      </c>
      <c r="F47" s="7" t="n">
        <v>179</v>
      </c>
      <c r="G47" s="7" t="n">
        <v>121</v>
      </c>
      <c r="H47" s="7" t="n">
        <v>1075</v>
      </c>
      <c r="I47" s="7" t="n">
        <v>413</v>
      </c>
      <c r="J47" s="7" t="n">
        <v>342</v>
      </c>
      <c r="K47" s="7" t="n">
        <v>186</v>
      </c>
      <c r="L47" s="7" t="n">
        <v>130</v>
      </c>
      <c r="M47" s="7" t="n">
        <v>97</v>
      </c>
      <c r="N47" s="7" t="n">
        <v>585</v>
      </c>
      <c r="O47" s="7" t="n">
        <v>127</v>
      </c>
      <c r="P47" s="7" t="n">
        <v>131</v>
      </c>
      <c r="Q47" s="7" t="n">
        <v>44</v>
      </c>
      <c r="R47" s="7" t="n">
        <v>49</v>
      </c>
      <c r="S47" s="7" t="n">
        <v>24</v>
      </c>
      <c r="T47" s="11" t="s">
        <v>130</v>
      </c>
    </row>
    <row r="48" customFormat="false" ht="15" hidden="false" customHeight="false" outlineLevel="0" collapsed="false">
      <c r="A48" s="11" t="s">
        <v>131</v>
      </c>
      <c r="B48" s="7" t="n">
        <v>198</v>
      </c>
      <c r="C48" s="7" t="n">
        <v>78</v>
      </c>
      <c r="D48" s="7" t="n">
        <v>74</v>
      </c>
      <c r="E48" s="7" t="n">
        <v>33</v>
      </c>
      <c r="F48" s="7" t="n">
        <v>31</v>
      </c>
      <c r="G48" s="7" t="n">
        <v>19</v>
      </c>
      <c r="H48" s="7" t="n">
        <v>143</v>
      </c>
      <c r="I48" s="7" t="n">
        <v>49</v>
      </c>
      <c r="J48" s="7" t="n">
        <v>61</v>
      </c>
      <c r="K48" s="7" t="n">
        <v>23</v>
      </c>
      <c r="L48" s="7" t="n">
        <v>27</v>
      </c>
      <c r="M48" s="7" t="n">
        <v>15</v>
      </c>
      <c r="N48" s="7" t="n">
        <v>55</v>
      </c>
      <c r="O48" s="7" t="n">
        <v>29</v>
      </c>
      <c r="P48" s="7" t="n">
        <v>13</v>
      </c>
      <c r="Q48" s="7" t="n">
        <v>10</v>
      </c>
      <c r="R48" s="7" t="n">
        <v>4</v>
      </c>
      <c r="S48" s="7" t="n">
        <v>4</v>
      </c>
      <c r="T48" s="11" t="s">
        <v>74</v>
      </c>
    </row>
    <row r="49" customFormat="false" ht="15" hidden="false" customHeight="false" outlineLevel="0" collapsed="false">
      <c r="A49" s="11" t="s">
        <v>132</v>
      </c>
      <c r="B49" s="7" t="n">
        <v>478</v>
      </c>
      <c r="C49" s="7" t="n">
        <v>137</v>
      </c>
      <c r="D49" s="7" t="n">
        <v>105</v>
      </c>
      <c r="E49" s="7" t="n">
        <v>49</v>
      </c>
      <c r="F49" s="7" t="n">
        <v>36</v>
      </c>
      <c r="G49" s="7" t="n">
        <v>23</v>
      </c>
      <c r="H49" s="7" t="n">
        <v>237</v>
      </c>
      <c r="I49" s="7" t="n">
        <v>88</v>
      </c>
      <c r="J49" s="7" t="n">
        <v>76</v>
      </c>
      <c r="K49" s="7" t="n">
        <v>37</v>
      </c>
      <c r="L49" s="7" t="n">
        <v>23</v>
      </c>
      <c r="M49" s="7" t="n">
        <v>15</v>
      </c>
      <c r="N49" s="7" t="n">
        <v>241</v>
      </c>
      <c r="O49" s="7" t="n">
        <v>49</v>
      </c>
      <c r="P49" s="7" t="n">
        <v>29</v>
      </c>
      <c r="Q49" s="7" t="n">
        <v>12</v>
      </c>
      <c r="R49" s="7" t="n">
        <v>13</v>
      </c>
      <c r="S49" s="7" t="n">
        <v>8</v>
      </c>
      <c r="T49" s="11" t="s">
        <v>133</v>
      </c>
    </row>
    <row r="50" customFormat="false" ht="15" hidden="false" customHeight="false" outlineLevel="0" collapsed="false">
      <c r="A50" s="11" t="s">
        <v>134</v>
      </c>
      <c r="B50" s="7" t="n">
        <v>32</v>
      </c>
      <c r="C50" s="7" t="n">
        <v>17</v>
      </c>
      <c r="D50" s="7" t="n">
        <v>6</v>
      </c>
      <c r="E50" s="7" t="n">
        <v>5</v>
      </c>
      <c r="F50" s="7" t="n">
        <v>4</v>
      </c>
      <c r="G50" s="7" t="n">
        <v>3</v>
      </c>
      <c r="H50" s="7" t="n">
        <v>13</v>
      </c>
      <c r="I50" s="7" t="n">
        <v>7</v>
      </c>
      <c r="J50" s="7" t="n">
        <v>1</v>
      </c>
      <c r="K50" s="7" t="n">
        <v>1</v>
      </c>
      <c r="L50" s="7" t="n">
        <v>0</v>
      </c>
      <c r="M50" s="7" t="n">
        <v>0</v>
      </c>
      <c r="N50" s="7" t="n">
        <v>19</v>
      </c>
      <c r="O50" s="7" t="n">
        <v>10</v>
      </c>
      <c r="P50" s="7" t="n">
        <v>5</v>
      </c>
      <c r="Q50" s="7" t="n">
        <v>4</v>
      </c>
      <c r="R50" s="7" t="n">
        <v>4</v>
      </c>
      <c r="S50" s="7" t="n">
        <v>3</v>
      </c>
      <c r="T50" s="11" t="s">
        <v>76</v>
      </c>
    </row>
    <row r="51" customFormat="false" ht="15" hidden="false" customHeight="false" outlineLevel="0" collapsed="false">
      <c r="A51" s="11" t="s">
        <v>135</v>
      </c>
      <c r="B51" s="7" t="n">
        <v>380</v>
      </c>
      <c r="C51" s="7" t="n">
        <v>108</v>
      </c>
      <c r="D51" s="7" t="n">
        <v>70</v>
      </c>
      <c r="E51" s="7" t="n">
        <v>42</v>
      </c>
      <c r="F51" s="7" t="n">
        <v>19</v>
      </c>
      <c r="G51" s="7" t="n">
        <v>16</v>
      </c>
      <c r="H51" s="7" t="n">
        <v>146</v>
      </c>
      <c r="I51" s="7" t="n">
        <v>54</v>
      </c>
      <c r="J51" s="7" t="n">
        <v>32</v>
      </c>
      <c r="K51" s="7" t="n">
        <v>21</v>
      </c>
      <c r="L51" s="7" t="n">
        <v>11</v>
      </c>
      <c r="M51" s="7" t="n">
        <v>9</v>
      </c>
      <c r="N51" s="7" t="n">
        <v>234</v>
      </c>
      <c r="O51" s="7" t="n">
        <v>54</v>
      </c>
      <c r="P51" s="7" t="n">
        <v>38</v>
      </c>
      <c r="Q51" s="7" t="n">
        <v>21</v>
      </c>
      <c r="R51" s="7" t="n">
        <v>8</v>
      </c>
      <c r="S51" s="7" t="n">
        <v>7</v>
      </c>
      <c r="T51" s="11" t="s">
        <v>64</v>
      </c>
    </row>
    <row r="52" customFormat="false" ht="15" hidden="false" customHeight="false" outlineLevel="0" collapsed="false">
      <c r="A52" s="11" t="s">
        <v>136</v>
      </c>
      <c r="B52" s="7" t="n">
        <v>363</v>
      </c>
      <c r="C52" s="7" t="n">
        <v>83</v>
      </c>
      <c r="D52" s="7" t="n">
        <v>107</v>
      </c>
      <c r="E52" s="7" t="n">
        <v>38</v>
      </c>
      <c r="F52" s="7" t="n">
        <v>33</v>
      </c>
      <c r="G52" s="7" t="n">
        <v>23</v>
      </c>
      <c r="H52" s="7" t="n">
        <v>170</v>
      </c>
      <c r="I52" s="7" t="n">
        <v>43</v>
      </c>
      <c r="J52" s="7" t="n">
        <v>67</v>
      </c>
      <c r="K52" s="7" t="n">
        <v>25</v>
      </c>
      <c r="L52" s="7" t="n">
        <v>23</v>
      </c>
      <c r="M52" s="7" t="n">
        <v>14</v>
      </c>
      <c r="N52" s="7" t="n">
        <v>193</v>
      </c>
      <c r="O52" s="7" t="n">
        <v>40</v>
      </c>
      <c r="P52" s="7" t="n">
        <v>40</v>
      </c>
      <c r="Q52" s="7" t="n">
        <v>13</v>
      </c>
      <c r="R52" s="7" t="n">
        <v>10</v>
      </c>
      <c r="S52" s="7" t="n">
        <v>9</v>
      </c>
      <c r="T52" s="11" t="s">
        <v>103</v>
      </c>
    </row>
    <row r="53" customFormat="false" ht="15" hidden="false" customHeight="false" outlineLevel="0" collapsed="false">
      <c r="A53" s="11" t="s">
        <v>137</v>
      </c>
      <c r="B53" s="7" t="n">
        <v>107</v>
      </c>
      <c r="C53" s="7" t="n">
        <v>41</v>
      </c>
      <c r="D53" s="7" t="n">
        <v>33</v>
      </c>
      <c r="E53" s="7" t="n">
        <v>23</v>
      </c>
      <c r="F53" s="7" t="n">
        <v>12</v>
      </c>
      <c r="G53" s="7" t="n">
        <v>11</v>
      </c>
      <c r="H53" s="7" t="n">
        <v>38</v>
      </c>
      <c r="I53" s="7" t="n">
        <v>19</v>
      </c>
      <c r="J53" s="7" t="n">
        <v>19</v>
      </c>
      <c r="K53" s="7" t="n">
        <v>14</v>
      </c>
      <c r="L53" s="7" t="n">
        <v>10</v>
      </c>
      <c r="M53" s="7" t="n">
        <v>9</v>
      </c>
      <c r="N53" s="7" t="n">
        <v>69</v>
      </c>
      <c r="O53" s="7" t="n">
        <v>22</v>
      </c>
      <c r="P53" s="7" t="n">
        <v>14</v>
      </c>
      <c r="Q53" s="7" t="n">
        <v>9</v>
      </c>
      <c r="R53" s="7" t="n">
        <v>2</v>
      </c>
      <c r="S53" s="7" t="n">
        <v>2</v>
      </c>
      <c r="T53" s="11" t="s">
        <v>78</v>
      </c>
    </row>
    <row r="54" customFormat="false" ht="15" hidden="false" customHeight="false" outlineLevel="0" collapsed="false">
      <c r="A54" s="11" t="s">
        <v>138</v>
      </c>
      <c r="B54" s="7" t="n">
        <v>39</v>
      </c>
      <c r="C54" s="7" t="n">
        <v>23</v>
      </c>
      <c r="D54" s="7" t="n">
        <v>7</v>
      </c>
      <c r="E54" s="7" t="n">
        <v>5</v>
      </c>
      <c r="F54" s="7" t="n">
        <v>0</v>
      </c>
      <c r="G54" s="7" t="n">
        <v>0</v>
      </c>
      <c r="H54" s="7" t="n">
        <v>17</v>
      </c>
      <c r="I54" s="7" t="n">
        <v>10</v>
      </c>
      <c r="J54" s="7" t="n">
        <v>5</v>
      </c>
      <c r="K54" s="7" t="n">
        <v>3</v>
      </c>
      <c r="L54" s="7" t="n">
        <v>0</v>
      </c>
      <c r="M54" s="7" t="n">
        <v>0</v>
      </c>
      <c r="N54" s="7" t="n">
        <v>22</v>
      </c>
      <c r="O54" s="7" t="n">
        <v>13</v>
      </c>
      <c r="P54" s="7" t="n">
        <v>2</v>
      </c>
      <c r="Q54" s="7" t="n">
        <v>2</v>
      </c>
      <c r="R54" s="7" t="n">
        <v>0</v>
      </c>
      <c r="S54" s="7" t="n">
        <v>0</v>
      </c>
      <c r="T54" s="11" t="s">
        <v>86</v>
      </c>
    </row>
    <row r="55" customFormat="false" ht="15" hidden="false" customHeight="false" outlineLevel="0" collapsed="false">
      <c r="A55" s="13" t="s">
        <v>52</v>
      </c>
      <c r="B55" s="14" t="n">
        <f aca="false">SUM(B4:B54)</f>
        <v>18405</v>
      </c>
      <c r="C55" s="14" t="n">
        <f aca="false">SUM(C4:C54)</f>
        <v>5862</v>
      </c>
      <c r="D55" s="14" t="n">
        <f aca="false">SUM(D4:D54)</f>
        <v>4401</v>
      </c>
      <c r="E55" s="14" t="n">
        <f aca="false">SUM(E4:E54)</f>
        <v>2188</v>
      </c>
      <c r="F55" s="14" t="n">
        <f aca="false">SUM(F4:F54)</f>
        <v>1476</v>
      </c>
      <c r="G55" s="14" t="n">
        <f aca="false">SUM(G4:G54)</f>
        <v>1005</v>
      </c>
      <c r="H55" s="14" t="n">
        <f aca="false">SUM(H4:H54)</f>
        <v>10775</v>
      </c>
      <c r="I55" s="14" t="n">
        <f aca="false">SUM(I4:I54)</f>
        <v>3647</v>
      </c>
      <c r="J55" s="14" t="n">
        <f aca="false">SUM(J4:J54)</f>
        <v>2883</v>
      </c>
      <c r="K55" s="14" t="n">
        <f aca="false">SUM(K4:K54)</f>
        <v>1419</v>
      </c>
      <c r="L55" s="14" t="n">
        <f aca="false">SUM(L4:L54)</f>
        <v>1002</v>
      </c>
      <c r="M55" s="14" t="n">
        <f aca="false">SUM(M4:M54)</f>
        <v>672</v>
      </c>
      <c r="N55" s="14" t="n">
        <f aca="false">SUM(N4:N54)</f>
        <v>7630</v>
      </c>
      <c r="O55" s="14" t="n">
        <f aca="false">SUM(O4:O54)</f>
        <v>2215</v>
      </c>
      <c r="P55" s="14" t="n">
        <f aca="false">SUM(P4:P54)</f>
        <v>1518</v>
      </c>
      <c r="Q55" s="14" t="n">
        <f aca="false">SUM(Q4:Q54)</f>
        <v>769</v>
      </c>
      <c r="R55" s="14" t="n">
        <f aca="false">SUM(R4:R54)</f>
        <v>474</v>
      </c>
      <c r="S55" s="14"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30"/>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0"/>
    <col collapsed="false" customWidth="true" hidden="false" outlineLevel="0" max="8" min="8" style="0" width="11"/>
    <col collapsed="false" customWidth="true" hidden="false" outlineLevel="0" max="9" min="9" style="0" width="13"/>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9"/>
    <col collapsed="false" customWidth="true" hidden="false" outlineLevel="0" max="16" min="14" style="0" width="8"/>
    <col collapsed="false" customWidth="true" hidden="false" outlineLevel="0" max="17" min="17" style="0" width="9"/>
    <col collapsed="false" customWidth="true" hidden="false" outlineLevel="0" max="18" min="18" style="0" width="10"/>
    <col collapsed="false" customWidth="true" hidden="false" outlineLevel="0" max="19" min="19" style="0" width="11"/>
  </cols>
  <sheetData>
    <row r="1" customFormat="false" ht="35.05" hidden="false" customHeight="false" outlineLevel="0" collapsed="false">
      <c r="A1" s="15" t="s">
        <v>62</v>
      </c>
      <c r="B1" s="15" t="s">
        <v>139</v>
      </c>
      <c r="C1" s="15" t="s">
        <v>140</v>
      </c>
      <c r="D1" s="15" t="s">
        <v>56</v>
      </c>
      <c r="E1" s="15" t="s">
        <v>57</v>
      </c>
      <c r="F1" s="15" t="s">
        <v>141</v>
      </c>
      <c r="G1" s="15" t="s">
        <v>142</v>
      </c>
      <c r="H1" s="15" t="s">
        <v>143</v>
      </c>
      <c r="I1" s="15" t="s">
        <v>144</v>
      </c>
      <c r="J1" s="15" t="s">
        <v>145</v>
      </c>
      <c r="K1" s="15" t="s">
        <v>146</v>
      </c>
      <c r="L1" s="15" t="s">
        <v>147</v>
      </c>
      <c r="M1" s="15" t="s">
        <v>148</v>
      </c>
      <c r="N1" s="15" t="s">
        <v>149</v>
      </c>
      <c r="O1" s="15" t="s">
        <v>150</v>
      </c>
      <c r="P1" s="15" t="s">
        <v>151</v>
      </c>
      <c r="Q1" s="15" t="s">
        <v>152</v>
      </c>
      <c r="R1" s="15" t="s">
        <v>153</v>
      </c>
      <c r="S1" s="15" t="s">
        <v>154</v>
      </c>
    </row>
    <row r="2" customFormat="false" ht="15" hidden="false" customHeight="false" outlineLevel="0" collapsed="false">
      <c r="A2" s="6" t="s">
        <v>130</v>
      </c>
      <c r="B2" s="6" t="s">
        <v>129</v>
      </c>
      <c r="C2" s="6" t="s">
        <v>155</v>
      </c>
      <c r="D2" s="7" t="n">
        <f aca="false">SUMIF('State Market Summary'!$T$4:$T$54,$A2,'State Market Summary'!$B$4:$B$54)</f>
        <v>1660</v>
      </c>
      <c r="E2" s="7" t="n">
        <f aca="false">SUMIF('State Market Summary'!$T$4:$T$54,$A2,'State Market Summary'!$C$4:$C$54)</f>
        <v>540</v>
      </c>
      <c r="F2" s="6" t="n">
        <f aca="false">MAX(1,ROUND(D2/300,0))</f>
        <v>6</v>
      </c>
      <c r="G2" s="7" t="n">
        <f aca="false">ROUND(D2/F2,0)</f>
        <v>277</v>
      </c>
      <c r="H2" s="6" t="str">
        <f aca="false">IF(G2&lt;275,"UNDER",IF(G2&gt;325,"OVER","IN BAND"))</f>
        <v>IN BAND</v>
      </c>
      <c r="I2" s="6" t="n">
        <f aca="false">INT(R2)+IF(RANK(S2,$S$2:$S$26)&lt;=28-SUMPRODUCT(INT($R$2:$R$26)),1,0)</f>
        <v>2</v>
      </c>
      <c r="J2" s="7" t="n">
        <f aca="false">IF(I2=0,"n/a",ROUND(D2/I2,0))</f>
        <v>830</v>
      </c>
      <c r="K2" s="16" t="n">
        <v>3090173</v>
      </c>
      <c r="L2" s="17" t="n">
        <v>78473</v>
      </c>
      <c r="M2" s="18" t="n">
        <f aca="false">ROUND((40*D2/MAX($D$2:$D$26)+25*E2/MAX($E$2:$E$26)+10*K2/MAX($K$2:$K$26)+10*L2/MAX($L$2:$L$26))/85*100,1)</f>
        <v>89.1</v>
      </c>
      <c r="N2" s="6" t="n">
        <f aca="false">RANK(M2,$M$2:$M$26)</f>
        <v>2</v>
      </c>
      <c r="O2" s="19" t="n">
        <v>1</v>
      </c>
      <c r="P2" s="6" t="n">
        <f aca="false">O2-N2</f>
        <v>-1</v>
      </c>
      <c r="Q2" s="6" t="n">
        <f aca="false">IF(N2&lt;=7,1,IF(N2&lt;=12,2,IF(N2&lt;=19,3,4)))</f>
        <v>1</v>
      </c>
      <c r="R2" s="20" t="n">
        <f aca="false">D2*28/SUM($D$2:$D$26)</f>
        <v>2.5254007063298</v>
      </c>
      <c r="S2" s="20" t="n">
        <f aca="false">R2-INT(R2)</f>
        <v>0.525400706329802</v>
      </c>
    </row>
    <row r="3" customFormat="false" ht="15" hidden="false" customHeight="false" outlineLevel="0" collapsed="false">
      <c r="A3" s="6" t="s">
        <v>72</v>
      </c>
      <c r="B3" s="6" t="s">
        <v>156</v>
      </c>
      <c r="C3" s="6" t="s">
        <v>157</v>
      </c>
      <c r="D3" s="7" t="n">
        <f aca="false">SUMIF('State Market Summary'!$T$4:$T$54,$A3,'State Market Summary'!$B$4:$B$54)</f>
        <v>1579</v>
      </c>
      <c r="E3" s="7" t="n">
        <f aca="false">SUMIF('State Market Summary'!$T$4:$T$54,$A3,'State Market Summary'!$C$4:$C$54)</f>
        <v>688</v>
      </c>
      <c r="F3" s="6" t="n">
        <f aca="false">MAX(1,ROUND(D3/300,0))</f>
        <v>5</v>
      </c>
      <c r="G3" s="7" t="n">
        <f aca="false">ROUND(D3/F3,0)</f>
        <v>316</v>
      </c>
      <c r="H3" s="6" t="str">
        <f aca="false">IF(G3&lt;275,"UNDER",IF(G3&gt;325,"OVER","IN BAND"))</f>
        <v>IN BAND</v>
      </c>
      <c r="I3" s="6" t="n">
        <f aca="false">INT(R3)+IF(RANK(S3,$S$2:$S$26)&lt;=28-SUMPRODUCT(INT($R$2:$R$26)),1,0)</f>
        <v>2</v>
      </c>
      <c r="J3" s="7" t="n">
        <f aca="false">IF(I3=0,"n/a",ROUND(D3/I3,0))</f>
        <v>790</v>
      </c>
      <c r="K3" s="16" t="n">
        <v>3819366</v>
      </c>
      <c r="L3" s="17" t="n">
        <v>97969</v>
      </c>
      <c r="M3" s="18" t="n">
        <f aca="false">ROUND((40*D3/MAX($D$2:$D$26)+25*E3/MAX($E$2:$E$26)+10*K3/MAX($K$2:$K$26)+10*L3/MAX($L$2:$L$26))/85*100,1)</f>
        <v>97.7</v>
      </c>
      <c r="N3" s="6" t="n">
        <f aca="false">RANK(M3,$M$2:$M$26)</f>
        <v>1</v>
      </c>
      <c r="O3" s="19" t="n">
        <v>2</v>
      </c>
      <c r="P3" s="6" t="n">
        <f aca="false">O3-N3</f>
        <v>1</v>
      </c>
      <c r="Q3" s="6" t="n">
        <f aca="false">IF(N3&lt;=7,1,IF(N3&lt;=12,2,IF(N3&lt;=19,3,4)))</f>
        <v>1</v>
      </c>
      <c r="R3" s="20" t="n">
        <f aca="false">D3*28/SUM($D$2:$D$26)</f>
        <v>2.40217332246672</v>
      </c>
      <c r="S3" s="20" t="n">
        <f aca="false">R3-INT(R3)</f>
        <v>0.402173322466721</v>
      </c>
    </row>
    <row r="4" customFormat="false" ht="15" hidden="false" customHeight="false" outlineLevel="0" collapsed="false">
      <c r="A4" s="6" t="s">
        <v>117</v>
      </c>
      <c r="B4" s="6" t="s">
        <v>116</v>
      </c>
      <c r="C4" s="6" t="s">
        <v>158</v>
      </c>
      <c r="D4" s="7" t="n">
        <f aca="false">SUMIF('State Market Summary'!$T$4:$T$54,$A4,'State Market Summary'!$B$4:$B$54)</f>
        <v>1030</v>
      </c>
      <c r="E4" s="7" t="n">
        <f aca="false">SUMIF('State Market Summary'!$T$4:$T$54,$A4,'State Market Summary'!$C$4:$C$54)</f>
        <v>404</v>
      </c>
      <c r="F4" s="6" t="n">
        <f aca="false">MAX(1,ROUND(D4/300,0))</f>
        <v>3</v>
      </c>
      <c r="G4" s="7" t="n">
        <f aca="false">ROUND(D4/F4,0)</f>
        <v>343</v>
      </c>
      <c r="H4" s="6" t="str">
        <f aca="false">IF(G4&lt;275,"UNDER",IF(G4&gt;325,"OVER","IN BAND"))</f>
        <v>OVER</v>
      </c>
      <c r="I4" s="6" t="n">
        <f aca="false">INT(R4)+IF(RANK(S4,$S$2:$S$26)&lt;=28-SUMPRODUCT(INT($R$2:$R$26)),1,0)</f>
        <v>2</v>
      </c>
      <c r="J4" s="7" t="n">
        <f aca="false">IF(I4=0,"n/a",ROUND(D4/I4,0))</f>
        <v>515</v>
      </c>
      <c r="K4" s="16" t="n">
        <v>1726412</v>
      </c>
      <c r="L4" s="17" t="n">
        <v>89542</v>
      </c>
      <c r="M4" s="18" t="n">
        <f aca="false">ROUND((40*D4/MAX($D$2:$D$26)+25*E4/MAX($E$2:$E$26)+10*K4/MAX($K$2:$K$26)+10*L4/MAX($L$2:$L$26))/85*100,1)</f>
        <v>62.5</v>
      </c>
      <c r="N4" s="6" t="n">
        <f aca="false">RANK(M4,$M$2:$M$26)</f>
        <v>3</v>
      </c>
      <c r="O4" s="19" t="n">
        <v>3</v>
      </c>
      <c r="P4" s="6" t="n">
        <f aca="false">O4-N4</f>
        <v>0</v>
      </c>
      <c r="Q4" s="6" t="n">
        <f aca="false">IF(N4&lt;=7,1,IF(N4&lt;=12,2,IF(N4&lt;=19,3,4)))</f>
        <v>1</v>
      </c>
      <c r="R4" s="20" t="n">
        <f aca="false">D4*28/SUM($D$2:$D$26)</f>
        <v>1.56696549850584</v>
      </c>
      <c r="S4" s="20" t="n">
        <f aca="false">R4-INT(R4)</f>
        <v>0.566965498505841</v>
      </c>
    </row>
    <row r="5" customFormat="false" ht="15" hidden="false" customHeight="false" outlineLevel="0" collapsed="false">
      <c r="A5" s="6" t="s">
        <v>119</v>
      </c>
      <c r="B5" s="6" t="s">
        <v>118</v>
      </c>
      <c r="C5" s="6" t="s">
        <v>159</v>
      </c>
      <c r="D5" s="7" t="n">
        <f aca="false">SUMIF('State Market Summary'!$T$4:$T$54,$A5,'State Market Summary'!$B$4:$B$54)</f>
        <v>795</v>
      </c>
      <c r="E5" s="7" t="n">
        <f aca="false">SUMIF('State Market Summary'!$T$4:$T$54,$A5,'State Market Summary'!$C$4:$C$54)</f>
        <v>178</v>
      </c>
      <c r="F5" s="6" t="n">
        <f aca="false">MAX(1,ROUND(D5/300,0))</f>
        <v>3</v>
      </c>
      <c r="G5" s="7" t="n">
        <f aca="false">ROUND(D5/F5,0)</f>
        <v>265</v>
      </c>
      <c r="H5" s="6" t="str">
        <f aca="false">IF(G5&lt;275,"UNDER",IF(G5&gt;325,"OVER","IN BAND"))</f>
        <v>UNDER</v>
      </c>
      <c r="I5" s="6" t="n">
        <f aca="false">INT(R5)+IF(RANK(S5,$S$2:$S$26)&lt;=28-SUMPRODUCT(INT($R$2:$R$26)),1,0)</f>
        <v>1</v>
      </c>
      <c r="J5" s="7" t="n">
        <f aca="false">IF(I5=0,"n/a",ROUND(D5/I5,0))</f>
        <v>795</v>
      </c>
      <c r="K5" s="16" t="n">
        <v>1089150</v>
      </c>
      <c r="L5" s="17" t="n">
        <v>71229</v>
      </c>
      <c r="M5" s="18" t="n">
        <f aca="false">ROUND((40*D5/MAX($D$2:$D$26)+25*E5/MAX($E$2:$E$26)+10*K5/MAX($K$2:$K$26)+10*L5/MAX($L$2:$L$26))/85*100,1)</f>
        <v>42.1</v>
      </c>
      <c r="N5" s="6" t="n">
        <f aca="false">RANK(M5,$M$2:$M$26)</f>
        <v>10</v>
      </c>
      <c r="O5" s="19" t="n">
        <v>4</v>
      </c>
      <c r="P5" s="6" t="n">
        <f aca="false">O5-N5</f>
        <v>-6</v>
      </c>
      <c r="Q5" s="6" t="n">
        <f aca="false">IF(N5&lt;=7,1,IF(N5&lt;=12,2,IF(N5&lt;=19,3,4)))</f>
        <v>2</v>
      </c>
      <c r="R5" s="20" t="n">
        <f aca="false">D5*28/SUM($D$2:$D$26)</f>
        <v>1.20945395273024</v>
      </c>
      <c r="S5" s="20" t="n">
        <f aca="false">R5-INT(R5)</f>
        <v>0.209453952730236</v>
      </c>
    </row>
    <row r="6" customFormat="false" ht="15" hidden="false" customHeight="false" outlineLevel="0" collapsed="false">
      <c r="A6" s="6" t="s">
        <v>81</v>
      </c>
      <c r="B6" s="6" t="s">
        <v>80</v>
      </c>
      <c r="C6" s="6" t="s">
        <v>160</v>
      </c>
      <c r="D6" s="7" t="n">
        <f aca="false">SUMIF('State Market Summary'!$T$4:$T$54,$A6,'State Market Summary'!$B$4:$B$54)</f>
        <v>1107</v>
      </c>
      <c r="E6" s="7" t="n">
        <f aca="false">SUMIF('State Market Summary'!$T$4:$T$54,$A6,'State Market Summary'!$C$4:$C$54)</f>
        <v>273</v>
      </c>
      <c r="F6" s="6" t="n">
        <f aca="false">MAX(1,ROUND(D6/300,0))</f>
        <v>4</v>
      </c>
      <c r="G6" s="7" t="n">
        <f aca="false">ROUND(D6/F6,0)</f>
        <v>277</v>
      </c>
      <c r="H6" s="6" t="str">
        <f aca="false">IF(G6&lt;275,"UNDER",IF(G6&gt;325,"OVER","IN BAND"))</f>
        <v>IN BAND</v>
      </c>
      <c r="I6" s="6" t="n">
        <f aca="false">INT(R6)+IF(RANK(S6,$S$2:$S$26)&lt;=28-SUMPRODUCT(INT($R$2:$R$26)),1,0)</f>
        <v>2</v>
      </c>
      <c r="J6" s="7" t="n">
        <f aca="false">IF(I6=0,"n/a",ROUND(D6/I6,0))</f>
        <v>554</v>
      </c>
      <c r="K6" s="16" t="n">
        <v>1780020</v>
      </c>
      <c r="L6" s="17" t="n">
        <v>71602</v>
      </c>
      <c r="M6" s="18" t="n">
        <f aca="false">ROUND((40*D6/MAX($D$2:$D$26)+25*E6/MAX($E$2:$E$26)+10*K6/MAX($K$2:$K$26)+10*L6/MAX($L$2:$L$26))/85*100,1)</f>
        <v>57.1</v>
      </c>
      <c r="N6" s="6" t="n">
        <f aca="false">RANK(M6,$M$2:$M$26)</f>
        <v>5</v>
      </c>
      <c r="O6" s="19" t="n">
        <v>5</v>
      </c>
      <c r="P6" s="6" t="n">
        <f aca="false">O6-N6</f>
        <v>0</v>
      </c>
      <c r="Q6" s="6" t="n">
        <f aca="false">IF(N6&lt;=7,1,IF(N6&lt;=12,2,IF(N6&lt;=19,3,4)))</f>
        <v>1</v>
      </c>
      <c r="R6" s="20" t="n">
        <f aca="false">D6*28/SUM($D$2:$D$26)</f>
        <v>1.6841075794621</v>
      </c>
      <c r="S6" s="20" t="n">
        <f aca="false">R6-INT(R6)</f>
        <v>0.684107579462103</v>
      </c>
    </row>
    <row r="7" customFormat="false" ht="15" hidden="false" customHeight="false" outlineLevel="0" collapsed="false">
      <c r="A7" s="6" t="s">
        <v>113</v>
      </c>
      <c r="B7" s="6" t="s">
        <v>161</v>
      </c>
      <c r="C7" s="6" t="s">
        <v>162</v>
      </c>
      <c r="D7" s="7" t="n">
        <f aca="false">SUMIF('State Market Summary'!$T$4:$T$54,$A7,'State Market Summary'!$B$4:$B$54)</f>
        <v>1035</v>
      </c>
      <c r="E7" s="7" t="n">
        <f aca="false">SUMIF('State Market Summary'!$T$4:$T$54,$A7,'State Market Summary'!$C$4:$C$54)</f>
        <v>338</v>
      </c>
      <c r="F7" s="6" t="n">
        <f aca="false">MAX(1,ROUND(D7/300,0))</f>
        <v>3</v>
      </c>
      <c r="G7" s="7" t="n">
        <f aca="false">ROUND(D7/F7,0)</f>
        <v>345</v>
      </c>
      <c r="H7" s="6" t="str">
        <f aca="false">IF(G7&lt;275,"UNDER",IF(G7&gt;325,"OVER","IN BAND"))</f>
        <v>OVER</v>
      </c>
      <c r="I7" s="6" t="n">
        <f aca="false">INT(R7)+IF(RANK(S7,$S$2:$S$26)&lt;=28-SUMPRODUCT(INT($R$2:$R$26)),1,0)</f>
        <v>2</v>
      </c>
      <c r="J7" s="7" t="n">
        <f aca="false">IF(I7=0,"n/a",ROUND(D7/I7,0))</f>
        <v>518</v>
      </c>
      <c r="K7" s="16" t="n">
        <v>1985432</v>
      </c>
      <c r="L7" s="17" t="n">
        <v>89604</v>
      </c>
      <c r="M7" s="18" t="n">
        <f aca="false">ROUND((40*D7/MAX($D$2:$D$26)+25*E7/MAX($E$2:$E$26)+10*K7/MAX($K$2:$K$26)+10*L7/MAX($L$2:$L$26))/85*100,1)</f>
        <v>60.7</v>
      </c>
      <c r="N7" s="6" t="n">
        <f aca="false">RANK(M7,$M$2:$M$26)</f>
        <v>4</v>
      </c>
      <c r="O7" s="19" t="n">
        <v>6</v>
      </c>
      <c r="P7" s="6" t="n">
        <f aca="false">O7-N7</f>
        <v>2</v>
      </c>
      <c r="Q7" s="6" t="n">
        <f aca="false">IF(N7&lt;=7,1,IF(N7&lt;=12,2,IF(N7&lt;=19,3,4)))</f>
        <v>1</v>
      </c>
      <c r="R7" s="20" t="n">
        <f aca="false">D7*28/SUM($D$2:$D$26)</f>
        <v>1.57457212713936</v>
      </c>
      <c r="S7" s="20" t="n">
        <f aca="false">R7-INT(R7)</f>
        <v>0.574572127139364</v>
      </c>
    </row>
    <row r="8" customFormat="false" ht="15" hidden="false" customHeight="false" outlineLevel="0" collapsed="false">
      <c r="A8" s="6" t="s">
        <v>101</v>
      </c>
      <c r="B8" s="6" t="s">
        <v>100</v>
      </c>
      <c r="C8" s="6" t="s">
        <v>163</v>
      </c>
      <c r="D8" s="7" t="n">
        <f aca="false">SUMIF('State Market Summary'!$T$4:$T$54,$A8,'State Market Summary'!$B$4:$B$54)</f>
        <v>746</v>
      </c>
      <c r="E8" s="7" t="n">
        <f aca="false">SUMIF('State Market Summary'!$T$4:$T$54,$A8,'State Market Summary'!$C$4:$C$54)</f>
        <v>207</v>
      </c>
      <c r="F8" s="6" t="n">
        <f aca="false">MAX(1,ROUND(D8/300,0))</f>
        <v>2</v>
      </c>
      <c r="G8" s="7" t="n">
        <f aca="false">ROUND(D8/F8,0)</f>
        <v>373</v>
      </c>
      <c r="H8" s="6" t="str">
        <f aca="false">IF(G8&lt;275,"UNDER",IF(G8&gt;325,"OVER","IN BAND"))</f>
        <v>OVER</v>
      </c>
      <c r="I8" s="6" t="n">
        <f aca="false">INT(R8)+IF(RANK(S8,$S$2:$S$26)&lt;=28-SUMPRODUCT(INT($R$2:$R$26)),1,0)</f>
        <v>1</v>
      </c>
      <c r="J8" s="7" t="n">
        <f aca="false">IF(I8=0,"n/a",ROUND(D8/I8,0))</f>
        <v>746</v>
      </c>
      <c r="K8" s="16" t="n">
        <v>910821</v>
      </c>
      <c r="L8" s="17" t="n">
        <v>72965</v>
      </c>
      <c r="M8" s="18" t="n">
        <f aca="false">ROUND((40*D8/MAX($D$2:$D$26)+25*E8/MAX($E$2:$E$26)+10*K8/MAX($K$2:$K$26)+10*L8/MAX($L$2:$L$26))/85*100,1)</f>
        <v>41.6</v>
      </c>
      <c r="N8" s="6" t="n">
        <f aca="false">RANK(M8,$M$2:$M$26)</f>
        <v>11</v>
      </c>
      <c r="O8" s="19" t="n">
        <v>7</v>
      </c>
      <c r="P8" s="6" t="n">
        <f aca="false">O8-N8</f>
        <v>-4</v>
      </c>
      <c r="Q8" s="6" t="n">
        <f aca="false">IF(N8&lt;=7,1,IF(N8&lt;=12,2,IF(N8&lt;=19,3,4)))</f>
        <v>2</v>
      </c>
      <c r="R8" s="20" t="n">
        <f aca="false">D8*28/SUM($D$2:$D$26)</f>
        <v>1.13490899212171</v>
      </c>
      <c r="S8" s="20" t="n">
        <f aca="false">R8-INT(R8)</f>
        <v>0.134908992121706</v>
      </c>
    </row>
    <row r="9" customFormat="false" ht="15" hidden="false" customHeight="false" outlineLevel="0" collapsed="false">
      <c r="A9" s="6" t="s">
        <v>76</v>
      </c>
      <c r="B9" s="6" t="s">
        <v>164</v>
      </c>
      <c r="C9" s="6" t="s">
        <v>165</v>
      </c>
      <c r="D9" s="7" t="n">
        <f aca="false">SUMIF('State Market Summary'!$T$4:$T$54,$A9,'State Market Summary'!$B$4:$B$54)</f>
        <v>918</v>
      </c>
      <c r="E9" s="7" t="n">
        <f aca="false">SUMIF('State Market Summary'!$T$4:$T$54,$A9,'State Market Summary'!$C$4:$C$54)</f>
        <v>279</v>
      </c>
      <c r="F9" s="6" t="n">
        <f aca="false">MAX(1,ROUND(D9/300,0))</f>
        <v>3</v>
      </c>
      <c r="G9" s="7" t="n">
        <f aca="false">ROUND(D9/F9,0)</f>
        <v>306</v>
      </c>
      <c r="H9" s="6" t="str">
        <f aca="false">IF(G9&lt;275,"UNDER",IF(G9&gt;325,"OVER","IN BAND"))</f>
        <v>IN BAND</v>
      </c>
      <c r="I9" s="6" t="n">
        <f aca="false">INT(R9)+IF(RANK(S9,$S$2:$S$26)&lt;=28-SUMPRODUCT(INT($R$2:$R$26)),1,0)</f>
        <v>1</v>
      </c>
      <c r="J9" s="7" t="n">
        <f aca="false">IF(I9=0,"n/a",ROUND(D9/I9,0))</f>
        <v>918</v>
      </c>
      <c r="K9" s="16" t="n">
        <v>1294309</v>
      </c>
      <c r="L9" s="17" t="n">
        <v>97019</v>
      </c>
      <c r="M9" s="18" t="n">
        <f aca="false">ROUND((40*D9/MAX($D$2:$D$26)+25*E9/MAX($E$2:$E$26)+10*K9/MAX($K$2:$K$26)+10*L9/MAX($L$2:$L$26))/85*100,1)</f>
        <v>53.6</v>
      </c>
      <c r="N9" s="6" t="n">
        <f aca="false">RANK(M9,$M$2:$M$26)</f>
        <v>6</v>
      </c>
      <c r="O9" s="19" t="n">
        <v>8</v>
      </c>
      <c r="P9" s="6" t="n">
        <f aca="false">O9-N9</f>
        <v>2</v>
      </c>
      <c r="Q9" s="6" t="n">
        <f aca="false">IF(N9&lt;=7,1,IF(N9&lt;=12,2,IF(N9&lt;=19,3,4)))</f>
        <v>1</v>
      </c>
      <c r="R9" s="20" t="n">
        <f aca="false">D9*28/SUM($D$2:$D$26)</f>
        <v>1.39657701711491</v>
      </c>
      <c r="S9" s="20" t="n">
        <f aca="false">R9-INT(R9)</f>
        <v>0.396577017114914</v>
      </c>
    </row>
    <row r="10" customFormat="false" ht="15" hidden="false" customHeight="false" outlineLevel="0" collapsed="false">
      <c r="A10" s="6" t="s">
        <v>103</v>
      </c>
      <c r="B10" s="6" t="s">
        <v>166</v>
      </c>
      <c r="C10" s="6" t="s">
        <v>167</v>
      </c>
      <c r="D10" s="7" t="n">
        <f aca="false">SUMIF('State Market Summary'!$T$4:$T$54,$A10,'State Market Summary'!$B$4:$B$54)</f>
        <v>758</v>
      </c>
      <c r="E10" s="7" t="n">
        <f aca="false">SUMIF('State Market Summary'!$T$4:$T$54,$A10,'State Market Summary'!$C$4:$C$54)</f>
        <v>176</v>
      </c>
      <c r="F10" s="6" t="n">
        <f aca="false">MAX(1,ROUND(D10/300,0))</f>
        <v>3</v>
      </c>
      <c r="G10" s="7" t="n">
        <f aca="false">ROUND(D10/F10,0)</f>
        <v>253</v>
      </c>
      <c r="H10" s="6" t="str">
        <f aca="false">IF(G10&lt;275,"UNDER",IF(G10&gt;325,"OVER","IN BAND"))</f>
        <v>UNDER</v>
      </c>
      <c r="I10" s="6" t="n">
        <f aca="false">INT(R10)+IF(RANK(S10,$S$2:$S$26)&lt;=28-SUMPRODUCT(INT($R$2:$R$26)),1,0)</f>
        <v>1</v>
      </c>
      <c r="J10" s="7" t="n">
        <f aca="false">IF(I10=0,"n/a",ROUND(D10/I10,0))</f>
        <v>758</v>
      </c>
      <c r="K10" s="16" t="n">
        <v>1084210</v>
      </c>
      <c r="L10" s="17" t="n">
        <v>81797</v>
      </c>
      <c r="M10" s="18" t="n">
        <f aca="false">ROUND((40*D10/MAX($D$2:$D$26)+25*E10/MAX($E$2:$E$26)+10*K10/MAX($K$2:$K$26)+10*L10/MAX($L$2:$L$26))/85*100,1)</f>
        <v>42.2</v>
      </c>
      <c r="N10" s="6" t="n">
        <f aca="false">RANK(M10,$M$2:$M$26)</f>
        <v>9</v>
      </c>
      <c r="O10" s="19" t="n">
        <v>9</v>
      </c>
      <c r="P10" s="6" t="n">
        <f aca="false">O10-N10</f>
        <v>0</v>
      </c>
      <c r="Q10" s="6" t="n">
        <f aca="false">IF(N10&lt;=7,1,IF(N10&lt;=12,2,IF(N10&lt;=19,3,4)))</f>
        <v>2</v>
      </c>
      <c r="R10" s="20" t="n">
        <f aca="false">D10*28/SUM($D$2:$D$26)</f>
        <v>1.15316490084216</v>
      </c>
      <c r="S10" s="20" t="n">
        <f aca="false">R10-INT(R10)</f>
        <v>0.153164900842163</v>
      </c>
    </row>
    <row r="11" customFormat="false" ht="15" hidden="false" customHeight="false" outlineLevel="0" collapsed="false">
      <c r="A11" s="6" t="s">
        <v>95</v>
      </c>
      <c r="B11" s="6" t="s">
        <v>168</v>
      </c>
      <c r="C11" s="6" t="s">
        <v>169</v>
      </c>
      <c r="D11" s="7" t="n">
        <f aca="false">SUMIF('State Market Summary'!$T$4:$T$54,$A11,'State Market Summary'!$B$4:$B$54)</f>
        <v>664</v>
      </c>
      <c r="E11" s="7" t="n">
        <f aca="false">SUMIF('State Market Summary'!$T$4:$T$54,$A11,'State Market Summary'!$C$4:$C$54)</f>
        <v>200</v>
      </c>
      <c r="F11" s="6" t="n">
        <f aca="false">MAX(1,ROUND(D11/300,0))</f>
        <v>2</v>
      </c>
      <c r="G11" s="7" t="n">
        <f aca="false">ROUND(D11/F11,0)</f>
        <v>332</v>
      </c>
      <c r="H11" s="6" t="str">
        <f aca="false">IF(G11&lt;275,"UNDER",IF(G11&gt;325,"OVER","IN BAND"))</f>
        <v>OVER</v>
      </c>
      <c r="I11" s="6" t="n">
        <f aca="false">INT(R11)+IF(RANK(S11,$S$2:$S$26)&lt;=28-SUMPRODUCT(INT($R$2:$R$26)),1,0)</f>
        <v>1</v>
      </c>
      <c r="J11" s="7" t="n">
        <f aca="false">IF(I11=0,"n/a",ROUND(D11/I11,0))</f>
        <v>664</v>
      </c>
      <c r="K11" s="16" t="n">
        <v>995376</v>
      </c>
      <c r="L11" s="17" t="n">
        <v>67472</v>
      </c>
      <c r="M11" s="18" t="n">
        <f aca="false">ROUND((40*D11/MAX($D$2:$D$26)+25*E11/MAX($E$2:$E$26)+10*K11/MAX($K$2:$K$26)+10*L11/MAX($L$2:$L$26))/85*100,1)</f>
        <v>38.5</v>
      </c>
      <c r="N11" s="6" t="n">
        <f aca="false">RANK(M11,$M$2:$M$26)</f>
        <v>15</v>
      </c>
      <c r="O11" s="19" t="n">
        <v>10</v>
      </c>
      <c r="P11" s="6" t="n">
        <f aca="false">O11-N11</f>
        <v>-5</v>
      </c>
      <c r="Q11" s="6" t="n">
        <f aca="false">IF(N11&lt;=7,1,IF(N11&lt;=12,2,IF(N11&lt;=19,3,4)))</f>
        <v>3</v>
      </c>
      <c r="R11" s="20" t="n">
        <f aca="false">D11*28/SUM($D$2:$D$26)</f>
        <v>1.01016028253192</v>
      </c>
      <c r="S11" s="20" t="n">
        <f aca="false">R11-INT(R11)</f>
        <v>0.0101602825319207</v>
      </c>
    </row>
    <row r="12" customFormat="false" ht="15" hidden="false" customHeight="false" outlineLevel="0" collapsed="false">
      <c r="A12" s="6" t="s">
        <v>83</v>
      </c>
      <c r="B12" s="6" t="s">
        <v>82</v>
      </c>
      <c r="C12" s="6" t="s">
        <v>170</v>
      </c>
      <c r="D12" s="7" t="n">
        <f aca="false">SUMIF('State Market Summary'!$T$4:$T$54,$A12,'State Market Summary'!$B$4:$B$54)</f>
        <v>683</v>
      </c>
      <c r="E12" s="7" t="n">
        <f aca="false">SUMIF('State Market Summary'!$T$4:$T$54,$A12,'State Market Summary'!$C$4:$C$54)</f>
        <v>220</v>
      </c>
      <c r="F12" s="6" t="n">
        <f aca="false">MAX(1,ROUND(D12/300,0))</f>
        <v>2</v>
      </c>
      <c r="G12" s="7" t="n">
        <f aca="false">ROUND(D12/F12,0)</f>
        <v>342</v>
      </c>
      <c r="H12" s="6" t="str">
        <f aca="false">IF(G12&lt;275,"UNDER",IF(G12&gt;325,"OVER","IN BAND"))</f>
        <v>OVER</v>
      </c>
      <c r="I12" s="6" t="n">
        <f aca="false">INT(R12)+IF(RANK(S12,$S$2:$S$26)&lt;=28-SUMPRODUCT(INT($R$2:$R$26)),1,0)</f>
        <v>1</v>
      </c>
      <c r="J12" s="7" t="n">
        <f aca="false">IF(I12=0,"n/a",ROUND(D12/I12,0))</f>
        <v>683</v>
      </c>
      <c r="K12" s="16" t="n">
        <v>1070611</v>
      </c>
      <c r="L12" s="17" t="n">
        <v>75694</v>
      </c>
      <c r="M12" s="18" t="n">
        <f aca="false">ROUND((40*D12/MAX($D$2:$D$26)+25*E12/MAX($E$2:$E$26)+10*K12/MAX($K$2:$K$26)+10*L12/MAX($L$2:$L$26))/85*100,1)</f>
        <v>41.2</v>
      </c>
      <c r="N12" s="6" t="n">
        <f aca="false">RANK(M12,$M$2:$M$26)</f>
        <v>13</v>
      </c>
      <c r="O12" s="19" t="n">
        <v>11</v>
      </c>
      <c r="P12" s="6" t="n">
        <f aca="false">O12-N12</f>
        <v>-2</v>
      </c>
      <c r="Q12" s="6" t="n">
        <f aca="false">IF(N12&lt;=7,1,IF(N12&lt;=12,2,IF(N12&lt;=19,3,4)))</f>
        <v>3</v>
      </c>
      <c r="R12" s="20" t="n">
        <f aca="false">D12*28/SUM($D$2:$D$26)</f>
        <v>1.03906547133931</v>
      </c>
      <c r="S12" s="20" t="n">
        <f aca="false">R12-INT(R12)</f>
        <v>0.0390654713393099</v>
      </c>
    </row>
    <row r="13" customFormat="false" ht="15" hidden="false" customHeight="false" outlineLevel="0" collapsed="false">
      <c r="A13" s="6" t="s">
        <v>64</v>
      </c>
      <c r="B13" s="6" t="s">
        <v>171</v>
      </c>
      <c r="C13" s="6" t="s">
        <v>172</v>
      </c>
      <c r="D13" s="7" t="n">
        <f aca="false">SUMIF('State Market Summary'!$T$4:$T$54,$A13,'State Market Summary'!$B$4:$B$54)</f>
        <v>734</v>
      </c>
      <c r="E13" s="7" t="n">
        <f aca="false">SUMIF('State Market Summary'!$T$4:$T$54,$A13,'State Market Summary'!$C$4:$C$54)</f>
        <v>225</v>
      </c>
      <c r="F13" s="6" t="n">
        <f aca="false">MAX(1,ROUND(D13/300,0))</f>
        <v>2</v>
      </c>
      <c r="G13" s="7" t="n">
        <f aca="false">ROUND(D13/F13,0)</f>
        <v>367</v>
      </c>
      <c r="H13" s="6" t="str">
        <f aca="false">IF(G13&lt;275,"UNDER",IF(G13&gt;325,"OVER","IN BAND"))</f>
        <v>OVER</v>
      </c>
      <c r="I13" s="6" t="n">
        <f aca="false">INT(R13)+IF(RANK(S13,$S$2:$S$26)&lt;=28-SUMPRODUCT(INT($R$2:$R$26)),1,0)</f>
        <v>1</v>
      </c>
      <c r="J13" s="7" t="n">
        <f aca="false">IF(I13=0,"n/a",ROUND(D13/I13,0))</f>
        <v>734</v>
      </c>
      <c r="K13" s="16" t="n">
        <v>1119028</v>
      </c>
      <c r="L13" s="17" t="n">
        <v>90198</v>
      </c>
      <c r="M13" s="18" t="n">
        <f aca="false">ROUND((40*D13/MAX($D$2:$D$26)+25*E13/MAX($E$2:$E$26)+10*K13/MAX($K$2:$K$26)+10*L13/MAX($L$2:$L$26))/85*100,1)</f>
        <v>44.7</v>
      </c>
      <c r="N13" s="6" t="n">
        <f aca="false">RANK(M13,$M$2:$M$26)</f>
        <v>7</v>
      </c>
      <c r="O13" s="19" t="n">
        <v>12</v>
      </c>
      <c r="P13" s="6" t="n">
        <f aca="false">O13-N13</f>
        <v>5</v>
      </c>
      <c r="Q13" s="6" t="n">
        <f aca="false">IF(N13&lt;=7,1,IF(N13&lt;=12,2,IF(N13&lt;=19,3,4)))</f>
        <v>1</v>
      </c>
      <c r="R13" s="20" t="n">
        <f aca="false">D13*28/SUM($D$2:$D$26)</f>
        <v>1.11665308340125</v>
      </c>
      <c r="S13" s="20" t="n">
        <f aca="false">R13-INT(R13)</f>
        <v>0.11665308340125</v>
      </c>
    </row>
    <row r="14" customFormat="false" ht="15" hidden="false" customHeight="false" outlineLevel="0" collapsed="false">
      <c r="A14" s="6" t="s">
        <v>108</v>
      </c>
      <c r="B14" s="6" t="s">
        <v>107</v>
      </c>
      <c r="C14" s="6" t="s">
        <v>173</v>
      </c>
      <c r="D14" s="7" t="n">
        <f aca="false">SUMIF('State Market Summary'!$T$4:$T$54,$A14,'State Market Summary'!$B$4:$B$54)</f>
        <v>779</v>
      </c>
      <c r="E14" s="7" t="n">
        <f aca="false">SUMIF('State Market Summary'!$T$4:$T$54,$A14,'State Market Summary'!$C$4:$C$54)</f>
        <v>181</v>
      </c>
      <c r="F14" s="6" t="n">
        <f aca="false">MAX(1,ROUND(D14/300,0))</f>
        <v>3</v>
      </c>
      <c r="G14" s="7" t="n">
        <f aca="false">ROUND(D14/F14,0)</f>
        <v>260</v>
      </c>
      <c r="H14" s="6" t="str">
        <f aca="false">IF(G14&lt;275,"UNDER",IF(G14&gt;325,"OVER","IN BAND"))</f>
        <v>UNDER</v>
      </c>
      <c r="I14" s="6" t="n">
        <f aca="false">INT(R14)+IF(RANK(S14,$S$2:$S$26)&lt;=28-SUMPRODUCT(INT($R$2:$R$26)),1,0)</f>
        <v>1</v>
      </c>
      <c r="J14" s="7" t="n">
        <f aca="false">IF(I14=0,"n/a",ROUND(D14/I14,0))</f>
        <v>779</v>
      </c>
      <c r="K14" s="16" t="n">
        <v>975468</v>
      </c>
      <c r="L14" s="17" t="n">
        <v>70436</v>
      </c>
      <c r="M14" s="18" t="n">
        <f aca="false">ROUND((40*D14/MAX($D$2:$D$26)+25*E14/MAX($E$2:$E$26)+10*K14/MAX($K$2:$K$26)+10*L14/MAX($L$2:$L$26))/85*100,1)</f>
        <v>41.3</v>
      </c>
      <c r="N14" s="6" t="n">
        <f aca="false">RANK(M14,$M$2:$M$26)</f>
        <v>12</v>
      </c>
      <c r="O14" s="19" t="n">
        <v>13</v>
      </c>
      <c r="P14" s="6" t="n">
        <f aca="false">O14-N14</f>
        <v>1</v>
      </c>
      <c r="Q14" s="6" t="n">
        <f aca="false">IF(N14&lt;=7,1,IF(N14&lt;=12,2,IF(N14&lt;=19,3,4)))</f>
        <v>2</v>
      </c>
      <c r="R14" s="20" t="n">
        <f aca="false">D14*28/SUM($D$2:$D$26)</f>
        <v>1.18511274110296</v>
      </c>
      <c r="S14" s="20" t="n">
        <f aca="false">R14-INT(R14)</f>
        <v>0.185112741102961</v>
      </c>
    </row>
    <row r="15" customFormat="false" ht="15" hidden="false" customHeight="false" outlineLevel="0" collapsed="false">
      <c r="A15" s="6" t="s">
        <v>93</v>
      </c>
      <c r="B15" s="6" t="s">
        <v>174</v>
      </c>
      <c r="C15" s="6" t="s">
        <v>175</v>
      </c>
      <c r="D15" s="7" t="n">
        <f aca="false">SUMIF('State Market Summary'!$T$4:$T$54,$A15,'State Market Summary'!$B$4:$B$54)</f>
        <v>597</v>
      </c>
      <c r="E15" s="7" t="n">
        <f aca="false">SUMIF('State Market Summary'!$T$4:$T$54,$A15,'State Market Summary'!$C$4:$C$54)</f>
        <v>198</v>
      </c>
      <c r="F15" s="6" t="n">
        <f aca="false">MAX(1,ROUND(D15/300,0))</f>
        <v>2</v>
      </c>
      <c r="G15" s="7" t="n">
        <f aca="false">ROUND(D15/F15,0)</f>
        <v>299</v>
      </c>
      <c r="H15" s="6" t="str">
        <f aca="false">IF(G15&lt;275,"UNDER",IF(G15&gt;325,"OVER","IN BAND"))</f>
        <v>IN BAND</v>
      </c>
      <c r="I15" s="6" t="n">
        <f aca="false">INT(R15)+IF(RANK(S15,$S$2:$S$26)&lt;=28-SUMPRODUCT(INT($R$2:$R$26)),1,0)</f>
        <v>1</v>
      </c>
      <c r="J15" s="7" t="n">
        <f aca="false">IF(I15=0,"n/a",ROUND(D15/I15,0))</f>
        <v>597</v>
      </c>
      <c r="K15" s="16" t="n">
        <v>1097099</v>
      </c>
      <c r="L15" s="17" t="n">
        <v>68598</v>
      </c>
      <c r="M15" s="18" t="n">
        <f aca="false">ROUND((40*D15/MAX($D$2:$D$26)+25*E15/MAX($E$2:$E$26)+10*K15/MAX($K$2:$K$26)+10*L15/MAX($L$2:$L$26))/85*100,1)</f>
        <v>37</v>
      </c>
      <c r="N15" s="6" t="n">
        <f aca="false">RANK(M15,$M$2:$M$26)</f>
        <v>17</v>
      </c>
      <c r="O15" s="19" t="n">
        <v>14</v>
      </c>
      <c r="P15" s="6" t="n">
        <f aca="false">O15-N15</f>
        <v>-3</v>
      </c>
      <c r="Q15" s="6" t="n">
        <f aca="false">IF(N15&lt;=7,1,IF(N15&lt;=12,2,IF(N15&lt;=19,3,4)))</f>
        <v>3</v>
      </c>
      <c r="R15" s="20" t="n">
        <f aca="false">D15*28/SUM($D$2:$D$26)</f>
        <v>0.908231458842706</v>
      </c>
      <c r="S15" s="20" t="n">
        <f aca="false">R15-INT(R15)</f>
        <v>0.908231458842706</v>
      </c>
    </row>
    <row r="16" customFormat="false" ht="15" hidden="false" customHeight="false" outlineLevel="0" collapsed="false">
      <c r="A16" s="6" t="s">
        <v>70</v>
      </c>
      <c r="B16" s="6" t="s">
        <v>176</v>
      </c>
      <c r="C16" s="6" t="s">
        <v>177</v>
      </c>
      <c r="D16" s="7" t="n">
        <f aca="false">SUMIF('State Market Summary'!$T$4:$T$54,$A16,'State Market Summary'!$B$4:$B$54)</f>
        <v>594</v>
      </c>
      <c r="E16" s="7" t="n">
        <f aca="false">SUMIF('State Market Summary'!$T$4:$T$54,$A16,'State Market Summary'!$C$4:$C$54)</f>
        <v>231</v>
      </c>
      <c r="F16" s="6" t="n">
        <f aca="false">MAX(1,ROUND(D16/300,0))</f>
        <v>2</v>
      </c>
      <c r="G16" s="7" t="n">
        <f aca="false">ROUND(D16/F16,0)</f>
        <v>297</v>
      </c>
      <c r="H16" s="6" t="str">
        <f aca="false">IF(G16&lt;275,"UNDER",IF(G16&gt;325,"OVER","IN BAND"))</f>
        <v>IN BAND</v>
      </c>
      <c r="I16" s="6" t="n">
        <f aca="false">INT(R16)+IF(RANK(S16,$S$2:$S$26)&lt;=28-SUMPRODUCT(INT($R$2:$R$26)),1,0)</f>
        <v>1</v>
      </c>
      <c r="J16" s="7" t="n">
        <f aca="false">IF(I16=0,"n/a",ROUND(D16/I16,0))</f>
        <v>594</v>
      </c>
      <c r="K16" s="16" t="n">
        <v>1257732</v>
      </c>
      <c r="L16" s="17" t="n">
        <v>75026</v>
      </c>
      <c r="M16" s="18" t="n">
        <f aca="false">ROUND((40*D16/MAX($D$2:$D$26)+25*E16/MAX($E$2:$E$26)+10*K16/MAX($K$2:$K$26)+10*L16/MAX($L$2:$L$26))/85*100,1)</f>
        <v>39.6</v>
      </c>
      <c r="N16" s="6" t="n">
        <f aca="false">RANK(M16,$M$2:$M$26)</f>
        <v>14</v>
      </c>
      <c r="O16" s="19" t="n">
        <v>15</v>
      </c>
      <c r="P16" s="6" t="n">
        <f aca="false">O16-N16</f>
        <v>1</v>
      </c>
      <c r="Q16" s="6" t="n">
        <f aca="false">IF(N16&lt;=7,1,IF(N16&lt;=12,2,IF(N16&lt;=19,3,4)))</f>
        <v>3</v>
      </c>
      <c r="R16" s="20" t="n">
        <f aca="false">D16*28/SUM($D$2:$D$26)</f>
        <v>0.903667481662592</v>
      </c>
      <c r="S16" s="20" t="n">
        <f aca="false">R16-INT(R16)</f>
        <v>0.903667481662592</v>
      </c>
    </row>
    <row r="17" customFormat="false" ht="15" hidden="false" customHeight="false" outlineLevel="0" collapsed="false">
      <c r="A17" s="6" t="s">
        <v>74</v>
      </c>
      <c r="B17" s="6" t="s">
        <v>178</v>
      </c>
      <c r="C17" s="6" t="s">
        <v>179</v>
      </c>
      <c r="D17" s="7" t="n">
        <f aca="false">SUMIF('State Market Summary'!$T$4:$T$54,$A17,'State Market Summary'!$B$4:$B$54)</f>
        <v>550</v>
      </c>
      <c r="E17" s="7" t="n">
        <f aca="false">SUMIF('State Market Summary'!$T$4:$T$54,$A17,'State Market Summary'!$C$4:$C$54)</f>
        <v>185</v>
      </c>
      <c r="F17" s="6" t="n">
        <f aca="false">MAX(1,ROUND(D17/300,0))</f>
        <v>2</v>
      </c>
      <c r="G17" s="7" t="n">
        <f aca="false">ROUND(D17/F17,0)</f>
        <v>275</v>
      </c>
      <c r="H17" s="6" t="str">
        <f aca="false">IF(G17&lt;275,"UNDER",IF(G17&gt;325,"OVER","IN BAND"))</f>
        <v>IN BAND</v>
      </c>
      <c r="I17" s="6" t="n">
        <f aca="false">INT(R17)+IF(RANK(S17,$S$2:$S$26)&lt;=28-SUMPRODUCT(INT($R$2:$R$26)),1,0)</f>
        <v>1</v>
      </c>
      <c r="J17" s="7" t="n">
        <f aca="false">IF(I17=0,"n/a",ROUND(D17/I17,0))</f>
        <v>550</v>
      </c>
      <c r="K17" s="16" t="n">
        <v>915366</v>
      </c>
      <c r="L17" s="17" t="n">
        <v>91862</v>
      </c>
      <c r="M17" s="18" t="n">
        <f aca="false">ROUND((40*D17/MAX($D$2:$D$26)+25*E17/MAX($E$2:$E$26)+10*K17/MAX($K$2:$K$26)+10*L17/MAX($L$2:$L$26))/85*100,1)</f>
        <v>37.4</v>
      </c>
      <c r="N17" s="6" t="n">
        <f aca="false">RANK(M17,$M$2:$M$26)</f>
        <v>16</v>
      </c>
      <c r="O17" s="19" t="n">
        <v>16</v>
      </c>
      <c r="P17" s="6" t="n">
        <f aca="false">O17-N17</f>
        <v>0</v>
      </c>
      <c r="Q17" s="6" t="n">
        <f aca="false">IF(N17&lt;=7,1,IF(N17&lt;=12,2,IF(N17&lt;=19,3,4)))</f>
        <v>3</v>
      </c>
      <c r="R17" s="20" t="n">
        <f aca="false">D17*28/SUM($D$2:$D$26)</f>
        <v>0.836729149687585</v>
      </c>
      <c r="S17" s="20" t="n">
        <f aca="false">R17-INT(R17)</f>
        <v>0.836729149687585</v>
      </c>
    </row>
    <row r="18" customFormat="false" ht="15" hidden="false" customHeight="false" outlineLevel="0" collapsed="false">
      <c r="A18" s="6" t="s">
        <v>89</v>
      </c>
      <c r="B18" s="6" t="s">
        <v>88</v>
      </c>
      <c r="C18" s="6" t="s">
        <v>180</v>
      </c>
      <c r="D18" s="7" t="n">
        <f aca="false">SUMIF('State Market Summary'!$T$4:$T$54,$A18,'State Market Summary'!$B$4:$B$54)</f>
        <v>718</v>
      </c>
      <c r="E18" s="7" t="n">
        <f aca="false">SUMIF('State Market Summary'!$T$4:$T$54,$A18,'State Market Summary'!$C$4:$C$54)</f>
        <v>241</v>
      </c>
      <c r="F18" s="6" t="n">
        <f aca="false">MAX(1,ROUND(D18/300,0))</f>
        <v>2</v>
      </c>
      <c r="G18" s="7" t="n">
        <f aca="false">ROUND(D18/F18,0)</f>
        <v>359</v>
      </c>
      <c r="H18" s="6" t="str">
        <f aca="false">IF(G18&lt;275,"UNDER",IF(G18&gt;325,"OVER","IN BAND"))</f>
        <v>OVER</v>
      </c>
      <c r="I18" s="6" t="n">
        <f aca="false">INT(R18)+IF(RANK(S18,$S$2:$S$26)&lt;=28-SUMPRODUCT(INT($R$2:$R$26)),1,0)</f>
        <v>1</v>
      </c>
      <c r="J18" s="7" t="n">
        <f aca="false">IF(I18=0,"n/a",ROUND(D18/I18,0))</f>
        <v>718</v>
      </c>
      <c r="K18" s="16" t="n">
        <v>1191812</v>
      </c>
      <c r="L18" s="17" t="n">
        <v>84033</v>
      </c>
      <c r="M18" s="18" t="n">
        <f aca="false">ROUND((40*D18/MAX($D$2:$D$26)+25*E18/MAX($E$2:$E$26)+10*K18/MAX($K$2:$K$26)+10*L18/MAX($L$2:$L$26))/85*100,1)</f>
        <v>44.4</v>
      </c>
      <c r="N18" s="6" t="n">
        <f aca="false">RANK(M18,$M$2:$M$26)</f>
        <v>8</v>
      </c>
      <c r="O18" s="19" t="n">
        <v>17</v>
      </c>
      <c r="P18" s="6" t="n">
        <f aca="false">O18-N18</f>
        <v>9</v>
      </c>
      <c r="Q18" s="6" t="n">
        <f aca="false">IF(N18&lt;=7,1,IF(N18&lt;=12,2,IF(N18&lt;=19,3,4)))</f>
        <v>2</v>
      </c>
      <c r="R18" s="20" t="n">
        <f aca="false">D18*28/SUM($D$2:$D$26)</f>
        <v>1.09231187177397</v>
      </c>
      <c r="S18" s="20" t="n">
        <f aca="false">R18-INT(R18)</f>
        <v>0.0923118717739744</v>
      </c>
    </row>
    <row r="19" customFormat="false" ht="15" hidden="false" customHeight="false" outlineLevel="0" collapsed="false">
      <c r="A19" s="6" t="s">
        <v>66</v>
      </c>
      <c r="B19" s="6" t="s">
        <v>181</v>
      </c>
      <c r="C19" s="6" t="s">
        <v>182</v>
      </c>
      <c r="D19" s="7" t="n">
        <f aca="false">SUMIF('State Market Summary'!$T$4:$T$54,$A19,'State Market Summary'!$B$4:$B$54)</f>
        <v>462</v>
      </c>
      <c r="E19" s="7" t="n">
        <f aca="false">SUMIF('State Market Summary'!$T$4:$T$54,$A19,'State Market Summary'!$C$4:$C$54)</f>
        <v>174</v>
      </c>
      <c r="F19" s="6" t="n">
        <f aca="false">MAX(1,ROUND(D19/300,0))</f>
        <v>2</v>
      </c>
      <c r="G19" s="7" t="n">
        <f aca="false">ROUND(D19/F19,0)</f>
        <v>231</v>
      </c>
      <c r="H19" s="6" t="str">
        <f aca="false">IF(G19&lt;275,"UNDER",IF(G19&gt;325,"OVER","IN BAND"))</f>
        <v>UNDER</v>
      </c>
      <c r="I19" s="6" t="n">
        <f aca="false">INT(R19)+IF(RANK(S19,$S$2:$S$26)&lt;=28-SUMPRODUCT(INT($R$2:$R$26)),1,0)</f>
        <v>1</v>
      </c>
      <c r="J19" s="7" t="n">
        <f aca="false">IF(I19=0,"n/a",ROUND(D19/I19,0))</f>
        <v>462</v>
      </c>
      <c r="K19" s="16" t="n">
        <v>772926</v>
      </c>
      <c r="L19" s="17" t="n">
        <v>60048</v>
      </c>
      <c r="M19" s="18" t="n">
        <f aca="false">ROUND((40*D19/MAX($D$2:$D$26)+25*E19/MAX($E$2:$E$26)+10*K19/MAX($K$2:$K$26)+10*L19/MAX($L$2:$L$26))/85*100,1)</f>
        <v>30.1</v>
      </c>
      <c r="N19" s="6" t="n">
        <f aca="false">RANK(M19,$M$2:$M$26)</f>
        <v>21</v>
      </c>
      <c r="O19" s="19" t="n">
        <v>18</v>
      </c>
      <c r="P19" s="6" t="n">
        <f aca="false">O19-N19</f>
        <v>-3</v>
      </c>
      <c r="Q19" s="6" t="n">
        <f aca="false">IF(N19&lt;=7,1,IF(N19&lt;=12,2,IF(N19&lt;=19,3,4)))</f>
        <v>4</v>
      </c>
      <c r="R19" s="20" t="n">
        <f aca="false">D19*28/SUM($D$2:$D$26)</f>
        <v>0.702852485737571</v>
      </c>
      <c r="S19" s="20" t="n">
        <f aca="false">R19-INT(R19)</f>
        <v>0.702852485737571</v>
      </c>
    </row>
    <row r="20" customFormat="false" ht="15" hidden="false" customHeight="false" outlineLevel="0" collapsed="false">
      <c r="A20" s="6" t="s">
        <v>68</v>
      </c>
      <c r="B20" s="6" t="s">
        <v>183</v>
      </c>
      <c r="C20" s="6" t="s">
        <v>184</v>
      </c>
      <c r="D20" s="7" t="n">
        <f aca="false">SUMIF('State Market Summary'!$T$4:$T$54,$A20,'State Market Summary'!$B$4:$B$54)</f>
        <v>477</v>
      </c>
      <c r="E20" s="7" t="n">
        <f aca="false">SUMIF('State Market Summary'!$T$4:$T$54,$A20,'State Market Summary'!$C$4:$C$54)</f>
        <v>176</v>
      </c>
      <c r="F20" s="6" t="n">
        <f aca="false">MAX(1,ROUND(D20/300,0))</f>
        <v>2</v>
      </c>
      <c r="G20" s="7" t="n">
        <f aca="false">ROUND(D20/F20,0)</f>
        <v>239</v>
      </c>
      <c r="H20" s="6" t="str">
        <f aca="false">IF(G20&lt;275,"UNDER",IF(G20&gt;325,"OVER","IN BAND"))</f>
        <v>UNDER</v>
      </c>
      <c r="I20" s="6" t="n">
        <f aca="false">INT(R20)+IF(RANK(S20,$S$2:$S$26)&lt;=28-SUMPRODUCT(INT($R$2:$R$26)),1,0)</f>
        <v>1</v>
      </c>
      <c r="J20" s="7" t="n">
        <f aca="false">IF(I20=0,"n/a",ROUND(D20/I20,0))</f>
        <v>477</v>
      </c>
      <c r="K20" s="16" t="n">
        <v>739152</v>
      </c>
      <c r="L20" s="17" t="n">
        <v>59699</v>
      </c>
      <c r="M20" s="18" t="n">
        <f aca="false">ROUND((40*D20/MAX($D$2:$D$26)+25*E20/MAX($E$2:$E$26)+10*K20/MAX($K$2:$K$26)+10*L20/MAX($L$2:$L$26))/85*100,1)</f>
        <v>30.5</v>
      </c>
      <c r="N20" s="6" t="n">
        <f aca="false">RANK(M20,$M$2:$M$26)</f>
        <v>20</v>
      </c>
      <c r="O20" s="19" t="n">
        <v>19</v>
      </c>
      <c r="P20" s="6" t="n">
        <f aca="false">O20-N20</f>
        <v>-1</v>
      </c>
      <c r="Q20" s="6" t="n">
        <f aca="false">IF(N20&lt;=7,1,IF(N20&lt;=12,2,IF(N20&lt;=19,3,4)))</f>
        <v>4</v>
      </c>
      <c r="R20" s="20" t="n">
        <f aca="false">D20*28/SUM($D$2:$D$26)</f>
        <v>0.725672371638142</v>
      </c>
      <c r="S20" s="20" t="n">
        <f aca="false">R20-INT(R20)</f>
        <v>0.725672371638142</v>
      </c>
    </row>
    <row r="21" customFormat="false" ht="15" hidden="false" customHeight="false" outlineLevel="0" collapsed="false">
      <c r="A21" s="6" t="s">
        <v>91</v>
      </c>
      <c r="B21" s="6" t="s">
        <v>90</v>
      </c>
      <c r="C21" s="6" t="s">
        <v>185</v>
      </c>
      <c r="D21" s="7" t="n">
        <f aca="false">SUMIF('State Market Summary'!$T$4:$T$54,$A21,'State Market Summary'!$B$4:$B$54)</f>
        <v>442</v>
      </c>
      <c r="E21" s="7" t="n">
        <f aca="false">SUMIF('State Market Summary'!$T$4:$T$54,$A21,'State Market Summary'!$C$4:$C$54)</f>
        <v>111</v>
      </c>
      <c r="F21" s="6" t="n">
        <f aca="false">MAX(1,ROUND(D21/300,0))</f>
        <v>1</v>
      </c>
      <c r="G21" s="7" t="n">
        <f aca="false">ROUND(D21/F21,0)</f>
        <v>442</v>
      </c>
      <c r="H21" s="6" t="str">
        <f aca="false">IF(G21&lt;275,"UNDER",IF(G21&gt;325,"OVER","IN BAND"))</f>
        <v>OVER</v>
      </c>
      <c r="I21" s="6" t="n">
        <f aca="false">INT(R21)+IF(RANK(S21,$S$2:$S$26)&lt;=28-SUMPRODUCT(INT($R$2:$R$26)),1,0)</f>
        <v>1</v>
      </c>
      <c r="J21" s="7" t="n">
        <f aca="false">IF(I21=0,"n/a",ROUND(D21/I21,0))</f>
        <v>442</v>
      </c>
      <c r="K21" s="16" t="n">
        <v>663850</v>
      </c>
      <c r="L21" s="17" t="n">
        <v>70489</v>
      </c>
      <c r="M21" s="18" t="n">
        <f aca="false">ROUND((40*D21/MAX($D$2:$D$26)+25*E21/MAX($E$2:$E$26)+10*K21/MAX($K$2:$K$26)+10*L21/MAX($L$2:$L$26))/85*100,1)</f>
        <v>27.8</v>
      </c>
      <c r="N21" s="6" t="n">
        <f aca="false">RANK(M21,$M$2:$M$26)</f>
        <v>22</v>
      </c>
      <c r="O21" s="19" t="n">
        <v>20</v>
      </c>
      <c r="P21" s="6" t="n">
        <f aca="false">O21-N21</f>
        <v>-2</v>
      </c>
      <c r="Q21" s="6" t="n">
        <f aca="false">IF(N21&lt;=7,1,IF(N21&lt;=12,2,IF(N21&lt;=19,3,4)))</f>
        <v>4</v>
      </c>
      <c r="R21" s="20" t="n">
        <f aca="false">D21*28/SUM($D$2:$D$26)</f>
        <v>0.672425971203477</v>
      </c>
      <c r="S21" s="20" t="n">
        <f aca="false">R21-INT(R21)</f>
        <v>0.672425971203477</v>
      </c>
    </row>
    <row r="22" customFormat="false" ht="15" hidden="false" customHeight="false" outlineLevel="0" collapsed="false">
      <c r="A22" s="6" t="s">
        <v>133</v>
      </c>
      <c r="B22" s="6" t="s">
        <v>132</v>
      </c>
      <c r="C22" s="6" t="s">
        <v>186</v>
      </c>
      <c r="D22" s="7" t="n">
        <f aca="false">SUMIF('State Market Summary'!$T$4:$T$54,$A22,'State Market Summary'!$B$4:$B$54)</f>
        <v>478</v>
      </c>
      <c r="E22" s="7" t="n">
        <f aca="false">SUMIF('State Market Summary'!$T$4:$T$54,$A22,'State Market Summary'!$C$4:$C$54)</f>
        <v>137</v>
      </c>
      <c r="F22" s="6" t="n">
        <f aca="false">MAX(1,ROUND(D22/300,0))</f>
        <v>2</v>
      </c>
      <c r="G22" s="7" t="n">
        <f aca="false">ROUND(D22/F22,0)</f>
        <v>239</v>
      </c>
      <c r="H22" s="6" t="str">
        <f aca="false">IF(G22&lt;275,"UNDER",IF(G22&gt;325,"OVER","IN BAND"))</f>
        <v>UNDER</v>
      </c>
      <c r="I22" s="6" t="n">
        <f aca="false">INT(R22)+IF(RANK(S22,$S$2:$S$26)&lt;=28-SUMPRODUCT(INT($R$2:$R$26)),1,0)</f>
        <v>1</v>
      </c>
      <c r="J22" s="7" t="n">
        <f aca="false">IF(I22=0,"n/a",ROUND(D22/I22,0))</f>
        <v>478</v>
      </c>
      <c r="K22" s="16" t="n">
        <v>794462</v>
      </c>
      <c r="L22" s="17" t="n">
        <v>97828</v>
      </c>
      <c r="M22" s="18" t="n">
        <f aca="false">ROUND((40*D22/MAX($D$2:$D$26)+25*E22/MAX($E$2:$E$26)+10*K22/MAX($K$2:$K$26)+10*L22/MAX($L$2:$L$26))/85*100,1)</f>
        <v>33.6</v>
      </c>
      <c r="N22" s="6" t="n">
        <f aca="false">RANK(M22,$M$2:$M$26)</f>
        <v>19</v>
      </c>
      <c r="O22" s="19" t="n">
        <v>21</v>
      </c>
      <c r="P22" s="6" t="n">
        <f aca="false">O22-N22</f>
        <v>2</v>
      </c>
      <c r="Q22" s="6" t="n">
        <f aca="false">IF(N22&lt;=7,1,IF(N22&lt;=12,2,IF(N22&lt;=19,3,4)))</f>
        <v>3</v>
      </c>
      <c r="R22" s="20" t="n">
        <f aca="false">D22*28/SUM($D$2:$D$26)</f>
        <v>0.727193697364847</v>
      </c>
      <c r="S22" s="20" t="n">
        <f aca="false">R22-INT(R22)</f>
        <v>0.727193697364847</v>
      </c>
    </row>
    <row r="23" customFormat="false" ht="15" hidden="false" customHeight="false" outlineLevel="0" collapsed="false">
      <c r="A23" s="6" t="s">
        <v>78</v>
      </c>
      <c r="B23" s="6" t="s">
        <v>187</v>
      </c>
      <c r="C23" s="6" t="s">
        <v>188</v>
      </c>
      <c r="D23" s="7" t="n">
        <f aca="false">SUMIF('State Market Summary'!$T$4:$T$54,$A23,'State Market Summary'!$B$4:$B$54)</f>
        <v>489</v>
      </c>
      <c r="E23" s="7" t="n">
        <f aca="false">SUMIF('State Market Summary'!$T$4:$T$54,$A23,'State Market Summary'!$C$4:$C$54)</f>
        <v>168</v>
      </c>
      <c r="F23" s="6" t="n">
        <f aca="false">MAX(1,ROUND(D23/300,0))</f>
        <v>2</v>
      </c>
      <c r="G23" s="7" t="n">
        <f aca="false">ROUND(D23/F23,0)</f>
        <v>245</v>
      </c>
      <c r="H23" s="6" t="str">
        <f aca="false">IF(G23&lt;275,"UNDER",IF(G23&gt;325,"OVER","IN BAND"))</f>
        <v>UNDER</v>
      </c>
      <c r="I23" s="6" t="n">
        <f aca="false">INT(R23)+IF(RANK(S23,$S$2:$S$26)&lt;=28-SUMPRODUCT(INT($R$2:$R$26)),1,0)</f>
        <v>1</v>
      </c>
      <c r="J23" s="7" t="n">
        <f aca="false">IF(I23=0,"n/a",ROUND(D23/I23,0))</f>
        <v>489</v>
      </c>
      <c r="K23" s="16" t="n">
        <v>860620</v>
      </c>
      <c r="L23" s="17" t="n">
        <v>94114</v>
      </c>
      <c r="M23" s="18" t="n">
        <f aca="false">ROUND((40*D23/MAX($D$2:$D$26)+25*E23/MAX($E$2:$E$26)+10*K23/MAX($K$2:$K$26)+10*L23/MAX($L$2:$L$26))/85*100,1)</f>
        <v>35</v>
      </c>
      <c r="N23" s="6" t="n">
        <f aca="false">RANK(M23,$M$2:$M$26)</f>
        <v>18</v>
      </c>
      <c r="O23" s="19" t="n">
        <v>22</v>
      </c>
      <c r="P23" s="6" t="n">
        <f aca="false">O23-N23</f>
        <v>4</v>
      </c>
      <c r="Q23" s="6" t="n">
        <f aca="false">IF(N23&lt;=7,1,IF(N23&lt;=12,2,IF(N23&lt;=19,3,4)))</f>
        <v>3</v>
      </c>
      <c r="R23" s="20" t="n">
        <f aca="false">D23*28/SUM($D$2:$D$26)</f>
        <v>0.743928280358598</v>
      </c>
      <c r="S23" s="20" t="n">
        <f aca="false">R23-INT(R23)</f>
        <v>0.743928280358598</v>
      </c>
    </row>
    <row r="24" customFormat="false" ht="15" hidden="false" customHeight="false" outlineLevel="0" collapsed="false">
      <c r="A24" s="6" t="s">
        <v>128</v>
      </c>
      <c r="B24" s="6" t="s">
        <v>127</v>
      </c>
      <c r="C24" s="6" t="s">
        <v>189</v>
      </c>
      <c r="D24" s="7" t="n">
        <f aca="false">SUMIF('State Market Summary'!$T$4:$T$54,$A24,'State Market Summary'!$B$4:$B$54)</f>
        <v>401</v>
      </c>
      <c r="E24" s="7" t="n">
        <f aca="false">SUMIF('State Market Summary'!$T$4:$T$54,$A24,'State Market Summary'!$C$4:$C$54)</f>
        <v>124</v>
      </c>
      <c r="F24" s="6" t="n">
        <f aca="false">MAX(1,ROUND(D24/300,0))</f>
        <v>1</v>
      </c>
      <c r="G24" s="7" t="n">
        <f aca="false">ROUND(D24/F24,0)</f>
        <v>401</v>
      </c>
      <c r="H24" s="6" t="str">
        <f aca="false">IF(G24&lt;275,"UNDER",IF(G24&gt;325,"OVER","IN BAND"))</f>
        <v>OVER</v>
      </c>
      <c r="I24" s="6" t="n">
        <f aca="false">INT(R24)+IF(RANK(S24,$S$2:$S$26)&lt;=28-SUMPRODUCT(INT($R$2:$R$26)),1,0)</f>
        <v>1</v>
      </c>
      <c r="J24" s="7" t="n">
        <f aca="false">IF(I24=0,"n/a",ROUND(D24/I24,0))</f>
        <v>401</v>
      </c>
      <c r="K24" s="16" t="n">
        <v>634143</v>
      </c>
      <c r="L24" s="17" t="n">
        <v>67976</v>
      </c>
      <c r="M24" s="18" t="n">
        <f aca="false">ROUND((40*D24/MAX($D$2:$D$26)+25*E24/MAX($E$2:$E$26)+10*K24/MAX($K$2:$K$26)+10*L24/MAX($L$2:$L$26))/85*100,1)</f>
        <v>26.8</v>
      </c>
      <c r="N24" s="6" t="n">
        <f aca="false">RANK(M24,$M$2:$M$26)</f>
        <v>23</v>
      </c>
      <c r="O24" s="19" t="n">
        <v>23</v>
      </c>
      <c r="P24" s="6" t="n">
        <f aca="false">O24-N24</f>
        <v>0</v>
      </c>
      <c r="Q24" s="6" t="n">
        <f aca="false">IF(N24&lt;=7,1,IF(N24&lt;=12,2,IF(N24&lt;=19,3,4)))</f>
        <v>4</v>
      </c>
      <c r="R24" s="20" t="n">
        <f aca="false">D24*28/SUM($D$2:$D$26)</f>
        <v>0.610051616408585</v>
      </c>
      <c r="S24" s="20" t="n">
        <f aca="false">R24-INT(R24)</f>
        <v>0.610051616408585</v>
      </c>
    </row>
    <row r="25" customFormat="false" ht="15" hidden="false" customHeight="false" outlineLevel="0" collapsed="false">
      <c r="A25" s="6" t="s">
        <v>86</v>
      </c>
      <c r="B25" s="6" t="s">
        <v>190</v>
      </c>
      <c r="C25" s="6" t="s">
        <v>191</v>
      </c>
      <c r="D25" s="7" t="n">
        <f aca="false">SUMIF('State Market Summary'!$T$4:$T$54,$A25,'State Market Summary'!$B$4:$B$54)</f>
        <v>345</v>
      </c>
      <c r="E25" s="7" t="n">
        <f aca="false">SUMIF('State Market Summary'!$T$4:$T$54,$A25,'State Market Summary'!$C$4:$C$54)</f>
        <v>111</v>
      </c>
      <c r="F25" s="6" t="n">
        <f aca="false">MAX(1,ROUND(D25/300,0))</f>
        <v>1</v>
      </c>
      <c r="G25" s="7" t="n">
        <f aca="false">ROUND(D25/F25,0)</f>
        <v>345</v>
      </c>
      <c r="H25" s="6" t="str">
        <f aca="false">IF(G25&lt;275,"UNDER",IF(G25&gt;325,"OVER","IN BAND"))</f>
        <v>OVER</v>
      </c>
      <c r="I25" s="6" t="n">
        <f aca="false">INT(R25)+IF(RANK(S25,$S$2:$S$26)&lt;=28-SUMPRODUCT(INT($R$2:$R$26)),1,0)</f>
        <v>0</v>
      </c>
      <c r="J25" s="7" t="str">
        <f aca="false">IF(I25=0,"n/a",ROUND(D25/I25,0))</f>
        <v>n/a</v>
      </c>
      <c r="K25" s="16" t="n">
        <v>528815</v>
      </c>
      <c r="L25" s="17" t="n">
        <v>73245</v>
      </c>
      <c r="M25" s="18" t="n">
        <f aca="false">ROUND((40*D25/MAX($D$2:$D$26)+25*E25/MAX($E$2:$E$26)+10*K25/MAX($K$2:$K$26)+10*L25/MAX($L$2:$L$26))/85*100,1)</f>
        <v>25</v>
      </c>
      <c r="N25" s="6" t="n">
        <f aca="false">RANK(M25,$M$2:$M$26)</f>
        <v>24</v>
      </c>
      <c r="O25" s="19" t="n">
        <v>24</v>
      </c>
      <c r="P25" s="6" t="n">
        <f aca="false">O25-N25</f>
        <v>0</v>
      </c>
      <c r="Q25" s="6" t="n">
        <f aca="false">IF(N25&lt;=7,1,IF(N25&lt;=12,2,IF(N25&lt;=19,3,4)))</f>
        <v>4</v>
      </c>
      <c r="R25" s="20" t="n">
        <f aca="false">D25*28/SUM($D$2:$D$26)</f>
        <v>0.524857375713121</v>
      </c>
      <c r="S25" s="20" t="n">
        <f aca="false">R25-INT(R25)</f>
        <v>0.524857375713121</v>
      </c>
    </row>
    <row r="26" customFormat="false" ht="15" hidden="false" customHeight="false" outlineLevel="0" collapsed="false">
      <c r="A26" s="6" t="s">
        <v>125</v>
      </c>
      <c r="B26" s="6" t="s">
        <v>124</v>
      </c>
      <c r="C26" s="6" t="s">
        <v>192</v>
      </c>
      <c r="D26" s="7" t="n">
        <f aca="false">SUMIF('State Market Summary'!$T$4:$T$54,$A26,'State Market Summary'!$B$4:$B$54)</f>
        <v>364</v>
      </c>
      <c r="E26" s="7" t="n">
        <f aca="false">SUMIF('State Market Summary'!$T$4:$T$54,$A26,'State Market Summary'!$C$4:$C$54)</f>
        <v>97</v>
      </c>
      <c r="F26" s="6" t="n">
        <f aca="false">MAX(1,ROUND(D26/300,0))</f>
        <v>1</v>
      </c>
      <c r="G26" s="7" t="n">
        <f aca="false">ROUND(D26/F26,0)</f>
        <v>364</v>
      </c>
      <c r="H26" s="6" t="str">
        <f aca="false">IF(G26&lt;275,"UNDER",IF(G26&gt;325,"OVER","IN BAND"))</f>
        <v>OVER</v>
      </c>
      <c r="I26" s="6" t="n">
        <f aca="false">INT(R26)+IF(RANK(S26,$S$2:$S$26)&lt;=28-SUMPRODUCT(INT($R$2:$R$26)),1,0)</f>
        <v>0</v>
      </c>
      <c r="J26" s="7" t="str">
        <f aca="false">IF(I26=0,"n/a",ROUND(D26/I26,0))</f>
        <v>n/a</v>
      </c>
      <c r="K26" s="16" t="n">
        <v>473826</v>
      </c>
      <c r="L26" s="17" t="n">
        <v>65973</v>
      </c>
      <c r="M26" s="18" t="n">
        <f aca="false">ROUND((40*D26/MAX($D$2:$D$26)+25*E26/MAX($E$2:$E$26)+10*K26/MAX($K$2:$K$26)+10*L26/MAX($L$2:$L$26))/85*100,1)</f>
        <v>23.8</v>
      </c>
      <c r="N26" s="6" t="n">
        <f aca="false">RANK(M26,$M$2:$M$26)</f>
        <v>25</v>
      </c>
      <c r="O26" s="19" t="n">
        <v>25</v>
      </c>
      <c r="P26" s="6" t="n">
        <f aca="false">O26-N26</f>
        <v>0</v>
      </c>
      <c r="Q26" s="6" t="n">
        <f aca="false">IF(N26&lt;=7,1,IF(N26&lt;=12,2,IF(N26&lt;=19,3,4)))</f>
        <v>4</v>
      </c>
      <c r="R26" s="20" t="n">
        <f aca="false">D26*28/SUM($D$2:$D$26)</f>
        <v>0.553762564520511</v>
      </c>
      <c r="S26" s="20" t="n">
        <f aca="false">R26-INT(R26)</f>
        <v>0.553762564520511</v>
      </c>
    </row>
    <row r="27" customFormat="false" ht="15" hidden="false" customHeight="false" outlineLevel="0" collapsed="false">
      <c r="A27" s="14" t="s">
        <v>52</v>
      </c>
      <c r="B27" s="14"/>
      <c r="C27" s="14"/>
      <c r="D27" s="14" t="n">
        <f aca="false">SUM(D2:D26)</f>
        <v>18405</v>
      </c>
      <c r="E27" s="14" t="n">
        <f aca="false">SUM(E2:E26)</f>
        <v>5862</v>
      </c>
      <c r="F27" s="14" t="n">
        <f aca="false">SUM(F2:F26)</f>
        <v>61</v>
      </c>
      <c r="G27" s="14" t="n">
        <f aca="false">ROUND(D27/F27,0)</f>
        <v>302</v>
      </c>
      <c r="H27" s="14"/>
      <c r="I27" s="14" t="n">
        <f aca="false">SUM(I2:I26)</f>
        <v>28</v>
      </c>
      <c r="J27" s="14"/>
      <c r="K27" s="14" t="n">
        <f aca="false">SUM(K2:K26)</f>
        <v>30870179</v>
      </c>
      <c r="L27" s="14"/>
      <c r="M27" s="14"/>
      <c r="N27" s="14"/>
      <c r="O27" s="14"/>
      <c r="P27" s="14"/>
      <c r="Q27" s="14"/>
      <c r="R27" s="14"/>
      <c r="S27" s="14"/>
    </row>
    <row r="29" customFormat="false" ht="51.75" hidden="false" customHeight="true" outlineLevel="0" collapsed="false">
      <c r="A29" s="8" t="s">
        <v>193</v>
      </c>
      <c r="B29" s="8"/>
      <c r="C29" s="8"/>
      <c r="D29" s="8"/>
      <c r="E29" s="8"/>
      <c r="F29" s="8"/>
      <c r="G29" s="8"/>
      <c r="H29" s="8"/>
      <c r="I29" s="8"/>
      <c r="J29" s="8"/>
      <c r="K29" s="8"/>
      <c r="L29" s="8"/>
      <c r="M29" s="8"/>
      <c r="N29" s="8"/>
      <c r="O29" s="8"/>
      <c r="P29" s="8"/>
      <c r="Q29" s="8"/>
    </row>
  </sheetData>
  <mergeCells count="1">
    <mergeCell ref="A29:Q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80"/>
    <col collapsed="false" customWidth="true" hidden="false" outlineLevel="0" max="3" min="3" style="0" width="11"/>
    <col collapsed="false" customWidth="true" hidden="false" outlineLevel="0" max="4" min="4" style="0" width="14"/>
    <col collapsed="false" customWidth="true" hidden="false" outlineLevel="0" max="5" min="5" style="0" width="34"/>
  </cols>
  <sheetData>
    <row r="1" customFormat="false" ht="15" hidden="false" customHeight="false" outlineLevel="0" collapsed="false">
      <c r="A1" s="3" t="s">
        <v>194</v>
      </c>
      <c r="B1" s="3" t="s">
        <v>195</v>
      </c>
      <c r="C1" s="3" t="s">
        <v>196</v>
      </c>
      <c r="D1" s="3" t="s">
        <v>197</v>
      </c>
      <c r="E1" s="3" t="s">
        <v>198</v>
      </c>
    </row>
    <row r="2" customFormat="false" ht="15" hidden="false" customHeight="false" outlineLevel="0" collapsed="false">
      <c r="A2" s="6" t="s">
        <v>199</v>
      </c>
      <c r="B2" s="21" t="s">
        <v>200</v>
      </c>
      <c r="C2" s="7" t="n">
        <f aca="false">SUMIF('Territory Plan'!$Q$2:$Q$26,1,'Territory Plan'!$F$2:$F$26)</f>
        <v>26</v>
      </c>
      <c r="D2" s="7" t="n">
        <f aca="false">SUM($C$2:$C2)</f>
        <v>26</v>
      </c>
      <c r="E2" s="6" t="s">
        <v>201</v>
      </c>
    </row>
    <row r="3" customFormat="false" ht="15" hidden="false" customHeight="false" outlineLevel="0" collapsed="false">
      <c r="A3" s="6" t="s">
        <v>202</v>
      </c>
      <c r="B3" s="21" t="s">
        <v>203</v>
      </c>
      <c r="C3" s="7" t="n">
        <f aca="false">SUMIF('Territory Plan'!$Q$2:$Q$26,2,'Territory Plan'!$F$2:$F$26)</f>
        <v>13</v>
      </c>
      <c r="D3" s="7" t="n">
        <f aca="false">SUM($C$2:$C3)</f>
        <v>39</v>
      </c>
      <c r="E3" s="6" t="s">
        <v>204</v>
      </c>
    </row>
    <row r="4" customFormat="false" ht="15" hidden="false" customHeight="false" outlineLevel="0" collapsed="false">
      <c r="A4" s="6" t="s">
        <v>205</v>
      </c>
      <c r="B4" s="21" t="s">
        <v>206</v>
      </c>
      <c r="C4" s="7" t="n">
        <f aca="false">SUMIF('Territory Plan'!$Q$2:$Q$26,3,'Territory Plan'!$F$2:$F$26)</f>
        <v>14</v>
      </c>
      <c r="D4" s="7" t="n">
        <f aca="false">SUM($C$2:$C4)</f>
        <v>53</v>
      </c>
      <c r="E4" s="6" t="s">
        <v>207</v>
      </c>
    </row>
    <row r="5" customFormat="false" ht="15" hidden="false" customHeight="false" outlineLevel="0" collapsed="false">
      <c r="A5" s="6" t="s">
        <v>208</v>
      </c>
      <c r="B5" s="21" t="s">
        <v>209</v>
      </c>
      <c r="C5" s="7" t="n">
        <f aca="false">SUMIF('Territory Plan'!$Q$2:$Q$26,4,'Territory Plan'!$F$2:$F$26)</f>
        <v>8</v>
      </c>
      <c r="D5" s="7" t="n">
        <f aca="false">SUM($C$2:$C5)</f>
        <v>61</v>
      </c>
      <c r="E5" s="6" t="s">
        <v>210</v>
      </c>
    </row>
    <row r="7" customFormat="false" ht="30" hidden="false" customHeight="true" outlineLevel="0" collapsed="false">
      <c r="A7" s="22" t="s">
        <v>211</v>
      </c>
      <c r="B7" s="22"/>
      <c r="C7" s="22"/>
      <c r="D7" s="22"/>
      <c r="E7" s="22"/>
    </row>
    <row r="8" customFormat="false" ht="30" hidden="false" customHeight="true" outlineLevel="0" collapsed="false">
      <c r="A8" s="8" t="s">
        <v>212</v>
      </c>
      <c r="B8" s="8"/>
      <c r="C8" s="8"/>
      <c r="D8" s="8"/>
      <c r="E8" s="8"/>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2026-07-21T18:40:33Z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