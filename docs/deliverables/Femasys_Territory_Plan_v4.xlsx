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 Methodology" sheetId="1" state="visible" r:id="rId3"/>
    <sheet name="Universe Scenarios" sheetId="2" state="visible" r:id="rId4"/>
    <sheet name="State Market Summary" sheetId="3" state="visible" r:id="rId5"/>
    <sheet name="Territory Plan" sheetId="4" state="visible" r:id="rId6"/>
    <sheet name="Hiring Waves" sheetId="5" state="visible" r:id="rId7"/>
    <sheet name="Kathy - ALL Univers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<sst xmlns="http://schemas.openxmlformats.org/spreadsheetml/2006/main" count="341" uniqueCount="254">
  <si>
    <t xml:space="preserve">FemaSeed U.S. Territory Plan — v1 (Workload-Based Model)</t>
  </si>
  <si>
    <t xml:space="preserve">THE HEADLINE: 28 reps is the right size — the data confirms it.</t>
  </si>
  <si>
    <t xml:space="preserve">Target universe = prescribers with ovulation-induction volume &gt;=5 (demonstrated repeat fertility behavior): 8,757 HCPs. At 28 reps that is 313 target HCPs per rep — inside the 275-325 workload band — and ~78 priority (&gt;=10) clinics per rep, inside the 65-80 band. Two independent workload axes both land in band at exactly 28. The workload-based method and the 28-territory ask agree.</t>
  </si>
  <si>
    <t xml:space="preserve">TIERS: T1 = vol &gt;=20 (1,476 HCPs) | T2 = 10-19 (2,925) | T3 = 5-9 (4,356). Field plan built on T1-T3.</t>
  </si>
  <si>
    <t xml:space="preserve">DECISIONS LOCKED IN THIS VERSION (all adjustable):</t>
  </si>
  <si>
    <t xml:space="preserve">1. Universe: &gt;=5 volume. Scenario tab shows implied org size at other cuts.</t>
  </si>
  <si>
    <t xml:space="preserve">2. Building block: STATE. Multi-rep states (TX 3, CA 2) carry the split internally; drawing metro boundaries inside a state requires clinic addresses (see Phase 2). No geography invented.</t>
  </si>
  <si>
    <t xml:space="preserve">3. Classification: locked v3 (clinic/physicians/associates removed; UWH routed academic). Every number reconciles to the approved Data Request waterfall: ALL 18,406 | &gt;=10 4,401 | Private &gt;=10 2,883 — exact matches. Puerto Rico excluded (matches Data Request universe).</t>
  </si>
  <si>
    <t xml:space="preserve">4. Scoring weights (from the methodology thread): Target HCPs 40% / Clinics 25% / Fertility volume 15% / Women 25-39 10% / Income 5% / Education 5%. The three demographic components (20%) require the national ZIP census files, which are not yet appended — weights renormalized to HCPs 50% / Clinics 31.25% / Volume 18.75% for v1. Demographic slot is built; append shifts scores, not structure.</t>
  </si>
  <si>
    <t xml:space="preserve">VALIDATION vs the prior analysis (six pilot states, patients/HCPs):</t>
  </si>
  <si>
    <t xml:space="preserve">FL 6,638/1,107 (theirs 6,623/1,106) | NC 5,649/779 (5,651/781) | GA 5,391/683 (5,366/682) | TN 3,269/401 (3,278/402) | SC 2,825/364 (2,874/378) | AL 2,501/294 (2,508/297) — matches within ~1%.</t>
  </si>
  <si>
    <t xml:space="preserve">Their 18,652 rows vs our 18,522: minor filter delta in source versions; six-state agreement confirms same underlying data.</t>
  </si>
  <si>
    <t xml:space="preserve">HOW TO USE: On 'Territory Plan', the Reps column (blue) is adjustable. Per-rep loads and band flags recalculate live. Four single-state territories (OH, MI, FL, NY) run over-band and are the first candidates for a split or added rep once addresses enable intra-state boundaries.</t>
  </si>
  <si>
    <t xml:space="preserve">SOURCE-FILE RECONCILIATION (verified against Megan's July file directly):</t>
  </si>
  <si>
    <t xml:space="preserve">18,652 total rows = 130 records with no practice identity (cannot be assigned to a clinic or classified; excluded) + 116 Puerto Rico rows (outside the Data Request universe) + 18,406 workable records. All 18,522 non-null NPIs carry identical volumes in both file versions (0 discrepancies).</t>
  </si>
  <si>
    <t xml:space="preserve">WORKLOAD-BAND VERIFICATION AT 28 REPS (targets from the methodology thread):</t>
  </si>
  <si>
    <t xml:space="preserve">Target HCPs 313/rep (band 275-325: IN) | Priority clinics 78.1/rep (65-80: IN) | Tier 2 104.5/rep (100-130: IN) | Tier 1 52.7/rep (35-45: ABOVE band).</t>
  </si>
  <si>
    <t xml:space="preserve">The Tier 1 overage means the market holds more top-tier prescribers than the workload template assumed - evidence that 28 reps is a floor, not a ceiling.</t>
  </si>
  <si>
    <t xml:space="preserve">V2 — NATIONAL CENSUS APPENDED (this version):</t>
  </si>
  <si>
    <t xml:space="preserve">All 52 state ZIP-census files applied (33,765 ZCTAs). Full scoring weights restored: Target HCPs 40% / Clinics 25% / Volume 15% / Women 25-39 10% / Income 5% / Education 5%.</t>
  </si>
  <si>
    <t xml:space="preserve">Income is population-weighted across ZCTAs with 3,144 missing-value sentinels excluded (census uses -666666666 for suppressed ZIPs; including them corrupts averages).</t>
  </si>
  <si>
    <t xml:space="preserve">17 of 25 territory rankings shifted; hiring waves updated.</t>
  </si>
  <si>
    <t xml:space="preserve">Data-quality notes: the extract's women-25-39 total runs ~20% below published national figures (relative rankings unaffected; do not quote absolute counts as census fact), and the 15-19 age band column is unreliable in spots — it is not used anywhere in this model.</t>
  </si>
  <si>
    <t xml:space="preserve">STRATEGIC CAVEAT — MANDATE STATES: the demographic weights promote Northeast territories (PA-NJ into Wave 1; New England to rank 8). Several of those are insurance-mandate states, which FemaSeed's go-to-market deliberately deprioritizes. The pure-opportunity ranking and the mandate-aware GTM disagree in the early waves. Resolve via the mandate overlay (Phase 2) using a verified CURRENT mandate list before committing hire sequencing — statuses have changed recently.</t>
  </si>
  <si>
    <t xml:space="preserve">V3 — SCORING REVISIONS (this version, per Megan's direction):</t>
  </si>
  <si>
    <t xml:space="preserve">1. Women's demographic window widened from 25-39 to 25-44 (adds the 40-44 census band). The lower bound stays at 25; the 15-19 band remains excluded (unreliable in the extract).</t>
  </si>
  <si>
    <t xml:space="preserve">2. Education weight set to 0% (column retained for reference, not scored).</t>
  </si>
  <si>
    <t xml:space="preserve">3. Income weight raised from 5% to 10%. Final v3 weights: Target HCPs 40% / Clinics 25% / Fertility volume 15% / Women 25-44 10% / Income 10% / Education 0%. (Sums to 100 with no renormalization.)</t>
  </si>
  <si>
    <t xml:space="preserve">Effect: only 2 of 25 rankings changed; top 8 identical; hiring waves materially unchanged. The mandate-state caveat on Hiring Waves stands. Women 25-44 extract total (30.9M ex-PR) runs ~20-25% below published figures — valid for relative ranking, not for absolute quotation.</t>
  </si>
  <si>
    <t xml:space="preserve">V4 — UNIVERSE CHANGE (2026-07-21, per Megan/CEO direction):</t>
  </si>
  <si>
    <t xml:space="preserve">Universe changed from &gt;=5 volume to ALL MDs (18,405 per Waterfall A rev1, canonical). This reverses the v1 universe lock. The 28-rep workload rationale does not hold at this universe; reps are now sized per territory to the 275-325 HCPs/rep band.</t>
  </si>
  <si>
    <t xml:space="preserve">SOURCE DELTA (18,405 vs 18,406): v3's Read Me reconciles to 18,406; Waterfall A rev1 (canonical for v4) totals 18,405. A state-level diff isolates the difference to a single state: MICHIGAN (v3: 747 All MDs; Waterfall A rev1: 746). All other 50 state rows match exactly.</t>
  </si>
  <si>
    <t xml:space="preserve">V4 SCORING (volume unavailable at this universe): no source provides per-state total volume across ALL MDs — row-level volume exists only for the &gt;=10 subset (4,424 physician rows, min volume 10). Reusing the &gt;=5-only volume column for an ALL-MD universe would misstate coverage, so the 15% volume weight is redistributed proportionally. Final v4 weights: All MDs 47.06% / All Clinics 29.41% / Women 25-44 11.76% / Income 11.76% (exactly 40/25/10/10 renormalized over 85). Each component is scored as share-of-territory-maximum, weighted, and rescaled to a 0-100 max. Clinics component now uses ALL clinics (consistent with the ALL-MD universe), not &gt;=10 priority clinics. Census columns (Women 25-44, Income) carried from v3 Territory Plan unchanged; v3's census data-quality caveats still apply.</t>
  </si>
  <si>
    <t xml:space="preserve">V4 SOURCE-DATA FLAGS (Waterfall A rev1): (1) NV Private ALL MDs is written as 304 in the source, inconsistent with NV Total (150) and NV Academic (35), and with the source's own Private TOTAL (10,775), which only reconciles at NV Private = 115. v4 uses 115 = Total - Academic; flagged, not silently corrected at the TOTAL. (2) The waterfall's own row-level tabs contain 4,424 MDs at &gt;=10 vs 4,401 in the Waterfall A TOTAL row — a 23-MD source-internal discrepancy, unexplained in the file. Waterfall A TOTALs remain canonical.</t>
  </si>
  <si>
    <t xml:space="preserve">V4 STRUCTURE NOTES: territory state groupings are v3's 25 territories, unchanged (no geography redrawn). 'Reps Required' = ROUND(All MDs / 300), minimum 1 — the headline staffing ('right reps for right areas'); it implies a 61-rep national org. A 28-rep constrained allocation (largest-remainder apportionment by All MDs) is shown alongside for comparison; under it, T24 (IA-SD-ND-WY) and T25 (SC) receive 0 reps — the 28-cap cannot cover the ALL-MD universe within band (657 HCPs/rep nationally). Hiring waves re-ranked by v4 score, keeping v3's wave sizes (7/5/7/6 territories); 18 of 25 rankings changed vs v3. The mandate-state caveat carries forward verbatim on Hiring Waves.</t>
  </si>
  <si>
    <t xml:space="preserve">Note: v3's Read Me text above is carried forward from the v3 file; minor punctuation artifacts from text extraction were cleaned without changing wording or numbers.</t>
  </si>
  <si>
    <t xml:space="preserve">V4 ADDENDUM — 'Kathy - ALL Universe' tab: per-territory view in Kathy's layout (columns E-P), ALL-MD universe. Counts sum Waterfall A rev1 labeled columns only. Reps is a live formula (ROUND(All MDs/300), min 1) that Kathy can overwrite; per-rep loads, Academic Share, Score, and Rank recalculate. Score uses Kathy's weights — All MDs/Rep 20% / All Clinics/Rep 60% / Women 25-44 10% / Median Income 10% / Education 0% — each component min-max normalized 0-100 across the 25 territories.</t>
  </si>
  <si>
    <t xml:space="preserve">V4.1 — REP CAP CORRECTION (2026-07-22, per Rajiv): 28 reps is a HARD CAP; per-territory rep sizing (ROUND(All MDs/300)) and the largest-remainder 28-cap apportionment were removed as irrelevant. The Reps column on Territory Plan and the Kathy - ALL Universe tab now carry the original (v3) Territory Plan allocation — TX 3, CA-HI 2, all other territories 1 — totaling exactly 28, entered as adjustable inputs. At the ALL-MD universe this is ~657 MDs/rep on average; the plan functions as a prioritization model using the &gt;=10 (4,401) and &gt;=20 (1,476) tiers. Scoring, rankings, and hiring waves are unchanged by this correction (score does not depend on reps on the Territory Plan tab; the Kathy tab score, which weights per-rep loads, now reflects the 28-cap allocation).</t>
  </si>
  <si>
    <t xml:space="preserve">Target Universe Definition</t>
  </si>
  <si>
    <t xml:space="preserve">HCPs</t>
  </si>
  <si>
    <t xml:space="preserve">Reps @300/rep</t>
  </si>
  <si>
    <t xml:space="preserve">HCPs/rep @28 reps</t>
  </si>
  <si>
    <t xml:space="preserve">In 275-325 band @28?</t>
  </si>
  <si>
    <t xml:space="preserve">Status (v4)</t>
  </si>
  <si>
    <t xml:space="preserve">All prescribers (any volume)</t>
  </si>
  <si>
    <t xml:space="preserve">no</t>
  </si>
  <si>
    <t xml:space="preserve">SELECTED — v4 universe (Waterfall A rev1 canonical; v3 showed 18,406, see Read Me)</t>
  </si>
  <si>
    <t xml:space="preserve">Volume &gt;=5 (v3 selection)</t>
  </si>
  <si>
    <t xml:space="preserve">YES</t>
  </si>
  <si>
    <t xml:space="preserve">superseded in v4</t>
  </si>
  <si>
    <t xml:space="preserve">Volume &gt;=10</t>
  </si>
  <si>
    <t xml:space="preserve">Volume &gt;=20</t>
  </si>
  <si>
    <t xml:space="preserve">v3 note (retained): 'The &gt;=5 universe is the only definition where 28 reps lands inside the industry workload band.' v4 selects ALL prescribers per Megan/CEO direction. Rep count is a HARD CAP of 28 (~657 MDs/rep at this universe); the 'Reps @300/rep' column is scenario context only, not a staffing proposal. The 28 are allocated per the original Territory Plan (see Territory Plan tab).</t>
  </si>
  <si>
    <t xml:space="preserve">Source: Waterfall A rev1 (canonical). MDs = All MDs headline. NV Private All MDs derived as Total - Academic (source shows 304, inconsistent with its own totals; see Read Me).</t>
  </si>
  <si>
    <t xml:space="preserve">TOTAL</t>
  </si>
  <si>
    <t xml:space="preserve">PRIVATE</t>
  </si>
  <si>
    <t xml:space="preserve">ACADEMIC/GROUP</t>
  </si>
  <si>
    <t xml:space="preserve">State</t>
  </si>
  <si>
    <t xml:space="preserve">All MDs</t>
  </si>
  <si>
    <t xml:space="preserve">All Clinics</t>
  </si>
  <si>
    <t xml:space="preserve">MDs &gt;=10</t>
  </si>
  <si>
    <t xml:space="preserve">Clinics &gt;=10</t>
  </si>
  <si>
    <t xml:space="preserve">MDs &gt;=20</t>
  </si>
  <si>
    <t xml:space="preserve">Clinics &gt;=20</t>
  </si>
  <si>
    <t xml:space="preserve">Territory</t>
  </si>
  <si>
    <t xml:space="preserve">AK</t>
  </si>
  <si>
    <t xml:space="preserve">T12</t>
  </si>
  <si>
    <t xml:space="preserve">AL</t>
  </si>
  <si>
    <t xml:space="preserve">T18</t>
  </si>
  <si>
    <t xml:space="preserve">AR</t>
  </si>
  <si>
    <t xml:space="preserve">T19</t>
  </si>
  <si>
    <t xml:space="preserve">AZ</t>
  </si>
  <si>
    <t xml:space="preserve">T15</t>
  </si>
  <si>
    <t xml:space="preserve">CA</t>
  </si>
  <si>
    <t xml:space="preserve">T02</t>
  </si>
  <si>
    <t xml:space="preserve">CO</t>
  </si>
  <si>
    <t xml:space="preserve">T16</t>
  </si>
  <si>
    <t xml:space="preserve">CT</t>
  </si>
  <si>
    <t xml:space="preserve">T08</t>
  </si>
  <si>
    <t xml:space="preserve">DC</t>
  </si>
  <si>
    <t xml:space="preserve">T22</t>
  </si>
  <si>
    <t xml:space="preserve">DE</t>
  </si>
  <si>
    <t xml:space="preserve">FL</t>
  </si>
  <si>
    <t xml:space="preserve">T05</t>
  </si>
  <si>
    <t xml:space="preserve">GA</t>
  </si>
  <si>
    <t xml:space="preserve">T11</t>
  </si>
  <si>
    <t xml:space="preserve">HI</t>
  </si>
  <si>
    <t xml:space="preserve">IA</t>
  </si>
  <si>
    <t xml:space="preserve">T24</t>
  </si>
  <si>
    <t xml:space="preserve">ID</t>
  </si>
  <si>
    <t xml:space="preserve">IL</t>
  </si>
  <si>
    <t xml:space="preserve">T17</t>
  </si>
  <si>
    <t xml:space="preserve">IN</t>
  </si>
  <si>
    <t xml:space="preserve">T20</t>
  </si>
  <si>
    <t xml:space="preserve">KS</t>
  </si>
  <si>
    <t xml:space="preserve">T14</t>
  </si>
  <si>
    <t xml:space="preserve">KY</t>
  </si>
  <si>
    <t xml:space="preserve">T10</t>
  </si>
  <si>
    <t xml:space="preserve">LA</t>
  </si>
  <si>
    <t xml:space="preserve">MA</t>
  </si>
  <si>
    <t xml:space="preserve">MD</t>
  </si>
  <si>
    <t xml:space="preserve">ME</t>
  </si>
  <si>
    <t xml:space="preserve">MI</t>
  </si>
  <si>
    <t xml:space="preserve">T07</t>
  </si>
  <si>
    <t xml:space="preserve">MN</t>
  </si>
  <si>
    <t xml:space="preserve">T09</t>
  </si>
  <si>
    <t xml:space="preserve">MO</t>
  </si>
  <si>
    <t xml:space="preserve">MS</t>
  </si>
  <si>
    <t xml:space="preserve">MT</t>
  </si>
  <si>
    <t xml:space="preserve">NC</t>
  </si>
  <si>
    <t xml:space="preserve">T13</t>
  </si>
  <si>
    <t xml:space="preserve">ND</t>
  </si>
  <si>
    <t xml:space="preserve">NE</t>
  </si>
  <si>
    <t xml:space="preserve">NH</t>
  </si>
  <si>
    <t xml:space="preserve">NJ</t>
  </si>
  <si>
    <t xml:space="preserve">T06</t>
  </si>
  <si>
    <t xml:space="preserve">NM</t>
  </si>
  <si>
    <t xml:space="preserve">NV</t>
  </si>
  <si>
    <t xml:space="preserve">NY</t>
  </si>
  <si>
    <t xml:space="preserve">T03</t>
  </si>
  <si>
    <t xml:space="preserve">OH</t>
  </si>
  <si>
    <t xml:space="preserve">T04</t>
  </si>
  <si>
    <t xml:space="preserve">OK</t>
  </si>
  <si>
    <t xml:space="preserve">OR</t>
  </si>
  <si>
    <t xml:space="preserve">PA</t>
  </si>
  <si>
    <t xml:space="preserve">RI</t>
  </si>
  <si>
    <t xml:space="preserve">SC</t>
  </si>
  <si>
    <t xml:space="preserve">T25</t>
  </si>
  <si>
    <t xml:space="preserve">SD</t>
  </si>
  <si>
    <t xml:space="preserve">TN</t>
  </si>
  <si>
    <t xml:space="preserve">T23</t>
  </si>
  <si>
    <t xml:space="preserve">TX</t>
  </si>
  <si>
    <t xml:space="preserve">T01</t>
  </si>
  <si>
    <t xml:space="preserve">UT</t>
  </si>
  <si>
    <t xml:space="preserve">VA</t>
  </si>
  <si>
    <t xml:space="preserve">T21</t>
  </si>
  <si>
    <t xml:space="preserve">VT</t>
  </si>
  <si>
    <t xml:space="preserve">WA</t>
  </si>
  <si>
    <t xml:space="preserve">WI</t>
  </si>
  <si>
    <t xml:space="preserve">WV</t>
  </si>
  <si>
    <t xml:space="preserve">WY</t>
  </si>
  <si>
    <t xml:space="preserve">States</t>
  </si>
  <si>
    <t xml:space="preserve">Anchor Markets</t>
  </si>
  <si>
    <t xml:space="preserve">Reps (28 cap, v3 allocation — ADJUSTABLE)</t>
  </si>
  <si>
    <t xml:space="preserve">MDs per Rep</t>
  </si>
  <si>
    <t xml:space="preserve">Clinics per Rep</t>
  </si>
  <si>
    <t xml:space="preserve">Women 25-44 (v3)</t>
  </si>
  <si>
    <t xml:space="preserve">Wtd Income (v3)</t>
  </si>
  <si>
    <t xml:space="preserve">Score v4</t>
  </si>
  <si>
    <t xml:space="preserve">Rank v4</t>
  </si>
  <si>
    <t xml:space="preserve">Rank v3</t>
  </si>
  <si>
    <t xml:space="preserve">Rank Change</t>
  </si>
  <si>
    <t xml:space="preserve">Hire Wave (v4)</t>
  </si>
  <si>
    <t xml:space="preserve">Houston, Dallas, Austin</t>
  </si>
  <si>
    <t xml:space="preserve">CA-HI</t>
  </si>
  <si>
    <t xml:space="preserve">Sacramento, Los Angeles, San Diego</t>
  </si>
  <si>
    <t xml:space="preserve">New York, Brooklyn, Bronx</t>
  </si>
  <si>
    <t xml:space="preserve">Columbus, Cincinnati, Cleveland</t>
  </si>
  <si>
    <t xml:space="preserve">Miami, Boca Raton, Tampa</t>
  </si>
  <si>
    <t xml:space="preserve">PA-NJ</t>
  </si>
  <si>
    <t xml:space="preserve">Pittsburgh, Philadelphia, Voorhees</t>
  </si>
  <si>
    <t xml:space="preserve">Royal Oak, Rochester, Ann Arbor</t>
  </si>
  <si>
    <t xml:space="preserve">MA-CT-NH-ME-VT-RI</t>
  </si>
  <si>
    <t xml:space="preserve">Boston, Rocky Hill, Scarborough</t>
  </si>
  <si>
    <t xml:space="preserve">MN-WI</t>
  </si>
  <si>
    <t xml:space="preserve">Minneapolis, Milwaukee, Saint Paul</t>
  </si>
  <si>
    <t xml:space="preserve">MO-KY</t>
  </si>
  <si>
    <t xml:space="preserve">Saint Louis, Lexington, Bowling Green</t>
  </si>
  <si>
    <t xml:space="preserve">Atlanta, Augusta, Gainesville</t>
  </si>
  <si>
    <t xml:space="preserve">WA-OR-AK</t>
  </si>
  <si>
    <t xml:space="preserve">Portland, Seattle, Anchorage</t>
  </si>
  <si>
    <t xml:space="preserve">Charlotte, Morrisville, Greenville</t>
  </si>
  <si>
    <t xml:space="preserve">KS-OK-NE-NM</t>
  </si>
  <si>
    <t xml:space="preserve">Omaha, Wichita, Tulsa</t>
  </si>
  <si>
    <t xml:space="preserve">AZ-NV-ID-MT</t>
  </si>
  <si>
    <t xml:space="preserve">Phoenix, Las Vegas, Boise</t>
  </si>
  <si>
    <t xml:space="preserve">CO-UT</t>
  </si>
  <si>
    <t xml:space="preserve">Denver, Salt Lake City, Littleton</t>
  </si>
  <si>
    <t xml:space="preserve">Chicago, Downers Grove, Evanston</t>
  </si>
  <si>
    <t xml:space="preserve">AL-MS</t>
  </si>
  <si>
    <t xml:space="preserve">Birmingham, Flowood, Hattiesburg</t>
  </si>
  <si>
    <t xml:space="preserve">LA-AR</t>
  </si>
  <si>
    <t xml:space="preserve">Baton Rouge, Fayetteville, Little Rock</t>
  </si>
  <si>
    <t xml:space="preserve">Indianapolis, Fort Wayne, Carmel</t>
  </si>
  <si>
    <t xml:space="preserve">Arlington, Falls Church, Virginia Beach</t>
  </si>
  <si>
    <t xml:space="preserve">MD-WV-DE-DC</t>
  </si>
  <si>
    <t xml:space="preserve">Huntington, Baltimore, Silver Spring</t>
  </si>
  <si>
    <t xml:space="preserve">Memphis, Knoxville, Nashville</t>
  </si>
  <si>
    <t xml:space="preserve">IA-SD-ND-WY</t>
  </si>
  <si>
    <t xml:space="preserve">Sioux Falls, West Des Moines, Cedar Rapids</t>
  </si>
  <si>
    <t xml:space="preserve">Greenville, Florence, Spartanburg</t>
  </si>
  <si>
    <t xml:space="preserve">HARD CAP: 28 reps. The Reps column (blue) carries v3's original Territory Plan allocation (TX 3, CA-HI 2, all others 1 = 28) and is adjustable — per-rep loads, Score, Rank, and Hiring Wave figures recalculate; keep the column total at 28. Per-rep loads against the ALL-MD universe (18,405) average ~657 MDs/rep — use with the &gt;=10 / &gt;=20 tiers on State Market Summary as a prioritization model. Women 25-44 and Wtd Income carried from v3 unchanged (blue = input). Score v4 weights: All MDs 47.06% / All Clinics 29.41% / Women 25-44 11.76% / Income 11.76% (see Read Me).</t>
  </si>
  <si>
    <t xml:space="preserve">Wave</t>
  </si>
  <si>
    <t xml:space="preserve">Territories Staffed (v4 score order)</t>
  </si>
  <si>
    <t xml:space="preserve">Reps Added</t>
  </si>
  <si>
    <t xml:space="preserve">Cumulative Reps</t>
  </si>
  <si>
    <t xml:space="preserve">Rationale</t>
  </si>
  <si>
    <t xml:space="preserve">Wave 1</t>
  </si>
  <si>
    <t xml:space="preserve">T02 CA-HI; T01 TX; T03 NY; T06 PA-NJ; T05 FL; T08 MA-CT-NH-ME-VT-RI; T12 WA-OR-AK</t>
  </si>
  <si>
    <t xml:space="preserve">Highest v4 opportunity; staff first</t>
  </si>
  <si>
    <t xml:space="preserve">Wave 2</t>
  </si>
  <si>
    <t xml:space="preserve">T17 IL; T09 MN-WI; T04 OH; T07 MI; T13 NC</t>
  </si>
  <si>
    <t xml:space="preserve">Second tier</t>
  </si>
  <si>
    <t xml:space="preserve">Wave 3</t>
  </si>
  <si>
    <t xml:space="preserve">T11 GA; T15 AZ-NV-ID-MT; T10 MO-KY; T16 CO-UT; T14 KS-OK-NE-NM; T22 MD-WV-DE-DC; T21 VA</t>
  </si>
  <si>
    <t xml:space="preserve">Regional completion</t>
  </si>
  <si>
    <t xml:space="preserve">Wave 4</t>
  </si>
  <si>
    <t xml:space="preserve">T19 LA-AR; T18 AL-MS; T20 IN; T23 TN; T24 IA-SD-ND-WY; T25 SC</t>
  </si>
  <si>
    <t xml:space="preserve">Full national at the 28 cap</t>
  </si>
  <si>
    <t xml:space="preserve">CAVEAT: rankings are pure opportunity, not mandate-adjusted. Northeast (incl. mandate states) remains in early waves under v3 weights. Verify the current mandate list (Phase 2) and re-sequence before committing hires.</t>
  </si>
  <si>
    <t xml:space="preserve">v4 notes: waves re-ranked by v4 score (18 of 25 rankings changed vs v3); wave sizes kept at v3's 7/5/7/6 territories. Rep counts use the hard 28-cap allocation from the original (v3) Territory Plan — TX 3, CA-HI 2, all others 1. Cumulative total = 28.</t>
  </si>
  <si>
    <t xml:space="preserve">Kathy - ALL Universe: all counts sum Waterfall A rev1 labeled columns only (via State Market Summary). Reps (J, blue) = the original Territory Plan 28-rep allocation (TX 3, CA-HI 2, others 1; hard cap 28) — overwrite freely, keep total 28; per-rep loads, Academic Share, Score, and Rank recalculate.</t>
  </si>
  <si>
    <t xml:space="preserve">Weights:</t>
  </si>
  <si>
    <t xml:space="preserve">20%</t>
  </si>
  <si>
    <t xml:space="preserve">60%</t>
  </si>
  <si>
    <t xml:space="preserve">10%</t>
  </si>
  <si>
    <t xml:space="preserve">0%</t>
  </si>
  <si>
    <t xml:space="preserve">All Academic/Group MDs</t>
  </si>
  <si>
    <t xml:space="preserve">All Academic/Group Clinics</t>
  </si>
  <si>
    <t xml:space="preserve">Reps</t>
  </si>
  <si>
    <t xml:space="preserve">All MDs/Rep</t>
  </si>
  <si>
    <t xml:space="preserve">All Clinics/Rep</t>
  </si>
  <si>
    <t xml:space="preserve">Academic Share</t>
  </si>
  <si>
    <t xml:space="preserve">Women 25-44</t>
  </si>
  <si>
    <t xml:space="preserve">Median Income</t>
  </si>
  <si>
    <t xml:space="preserve">Education</t>
  </si>
  <si>
    <t xml:space="preserve">Score</t>
  </si>
  <si>
    <t xml:space="preserve">Rank</t>
  </si>
  <si>
    <t xml:space="preserve">T01 TX</t>
  </si>
  <si>
    <t xml:space="preserve">T02 CA-HI</t>
  </si>
  <si>
    <t xml:space="preserve">T03 NY</t>
  </si>
  <si>
    <t xml:space="preserve">T04 OH</t>
  </si>
  <si>
    <t xml:space="preserve">T05 FL</t>
  </si>
  <si>
    <t xml:space="preserve">T06 PA-NJ</t>
  </si>
  <si>
    <t xml:space="preserve">T07 MI</t>
  </si>
  <si>
    <t xml:space="preserve">T08 MA-CT-NH-ME-VT-RI</t>
  </si>
  <si>
    <t xml:space="preserve">T09 MN-WI</t>
  </si>
  <si>
    <t xml:space="preserve">T10 MO-KY</t>
  </si>
  <si>
    <t xml:space="preserve">T11 GA</t>
  </si>
  <si>
    <t xml:space="preserve">T12 WA-OR-AK</t>
  </si>
  <si>
    <t xml:space="preserve">T13 NC</t>
  </si>
  <si>
    <t xml:space="preserve">T14 KS-OK-NE-NM</t>
  </si>
  <si>
    <t xml:space="preserve">T15 AZ-NV-ID-MT</t>
  </si>
  <si>
    <t xml:space="preserve">T16 CO-UT</t>
  </si>
  <si>
    <t xml:space="preserve">T17 IL</t>
  </si>
  <si>
    <t xml:space="preserve">T18 AL-MS</t>
  </si>
  <si>
    <t xml:space="preserve">T19 LA-AR</t>
  </si>
  <si>
    <t xml:space="preserve">T20 IN</t>
  </si>
  <si>
    <t xml:space="preserve">T21 VA</t>
  </si>
  <si>
    <t xml:space="preserve">T22 MD-WV-DE-DC</t>
  </si>
  <si>
    <t xml:space="preserve">T23 TN</t>
  </si>
  <si>
    <t xml:space="preserve">T24 IA-SD-ND-WY</t>
  </si>
  <si>
    <t xml:space="preserve">T25 SC</t>
  </si>
  <si>
    <t xml:space="preserve">Score = min-max normalization (0-100 across territories) of All MDs/Rep (20%), All Clinics/Rep (60%), Women 25-44 (10%), Median Income (10%); Education 0% (displayed, not scored). Blue cells are inputs: Reps carries the original Territory Plan 28-rep allocation (hard cap); Women 25-44 / Median Income / Education carried from v3 Territory Plan unchanged (v3 census data-quality caveats apply). All MD/clinic counts (F-I) are sums of member states from Waterfall A rev1 labeled columns only; stray unlabeled scratch columns in the source were excluded.</t>
  </si>
</sst>
</file>

<file path=xl/styles.xml><?xml version="1.0" encoding="utf-8"?>
<styleSheet xmlns="http://schemas.openxmlformats.org/spreadsheetml/2006/main">
  <numFmts count="7">
    <numFmt numFmtId="164" formatCode="General"/>
    <numFmt numFmtId="165" formatCode="#,##0"/>
    <numFmt numFmtId="166" formatCode="#,##0.0"/>
    <numFmt numFmtId="167" formatCode="\$#,##0"/>
    <numFmt numFmtId="168" formatCode="0.0"/>
    <numFmt numFmtId="169" formatCode="0.0%"/>
    <numFmt numFmtId="170" formatCode="\$#,##0"/>
  </numFmts>
  <fonts count="10">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
      <sz val="10"/>
      <color rgb="FF0000FF"/>
      <name val="Arial"/>
      <family val="0"/>
      <charset val="1"/>
    </font>
    <font>
      <b val="true"/>
      <sz val="10"/>
      <color rgb="FFC00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D9E2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false" indent="0" shrinkToFit="false"/>
      <protection locked="true" hidden="false"/>
    </xf>
    <xf numFmtId="165" fontId="4" fillId="3"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4" fillId="4" borderId="0"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false" indent="0" shrinkToFit="false"/>
      <protection locked="true" hidden="false"/>
    </xf>
    <xf numFmtId="165" fontId="4" fillId="4"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4" fillId="4" borderId="1" xfId="0" applyFont="true" applyBorder="true" applyAlignment="false" applyProtection="false">
      <alignment horizontal="general" vertical="bottom" textRotation="0" wrapText="false" indent="0" shrinkToFit="false"/>
      <protection locked="true" hidden="false"/>
    </xf>
    <xf numFmtId="165" fontId="4" fillId="4" borderId="1" xfId="0" applyFont="true" applyBorder="true" applyAlignment="false" applyProtection="false">
      <alignment horizontal="general" vertical="bottom" textRotation="0" wrapText="false" indent="0" shrinkToFit="false"/>
      <protection locked="true" hidden="false"/>
    </xf>
    <xf numFmtId="166" fontId="4"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70" fontId="8"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4" fontId="4" fillId="4" borderId="1" xfId="0" applyFont="true" applyBorder="true" applyAlignment="true" applyProtection="false">
      <alignment horizontal="general" vertical="bottom" textRotation="0" wrapText="false" indent="0" shrinkToFit="false"/>
      <protection locked="true" hidden="false"/>
    </xf>
    <xf numFmtId="166" fontId="4" fillId="4" borderId="1" xfId="0" applyFont="true" applyBorder="true" applyAlignment="true" applyProtection="false">
      <alignment horizontal="general" vertical="bottom" textRotation="0" wrapText="false" indent="0" shrinkToFit="false"/>
      <protection locked="true" hidden="false"/>
    </xf>
    <xf numFmtId="169" fontId="4" fillId="4"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120"/>
  </cols>
  <sheetData>
    <row r="1" customFormat="false" ht="15" hidden="false" customHeight="true" outlineLevel="0" collapsed="false">
      <c r="A1" s="2" t="s">
        <v>0</v>
      </c>
    </row>
    <row r="2" customFormat="false" ht="15" hidden="false" customHeight="true" outlineLevel="0" collapsed="false">
      <c r="A2" s="2" t="s">
        <v>1</v>
      </c>
    </row>
    <row r="3" customFormat="false" ht="34.5" hidden="false" customHeight="true" outlineLevel="0" collapsed="false">
      <c r="A3" s="3" t="s">
        <v>2</v>
      </c>
    </row>
    <row r="4" customFormat="false" ht="15" hidden="false" customHeight="true" outlineLevel="0" collapsed="false">
      <c r="A4" s="3" t="s">
        <v>3</v>
      </c>
    </row>
    <row r="5" customFormat="false" ht="15" hidden="false" customHeight="true" outlineLevel="0" collapsed="false">
      <c r="A5" s="2" t="s">
        <v>4</v>
      </c>
    </row>
    <row r="6" customFormat="false" ht="15" hidden="false" customHeight="true" outlineLevel="0" collapsed="false">
      <c r="A6" s="3" t="s">
        <v>5</v>
      </c>
    </row>
    <row r="7" customFormat="false" ht="15" hidden="false" customHeight="true" outlineLevel="0" collapsed="false">
      <c r="A7" s="3" t="s">
        <v>6</v>
      </c>
    </row>
    <row r="8" customFormat="false" ht="23.25" hidden="false" customHeight="true" outlineLevel="0" collapsed="false">
      <c r="A8" s="3" t="s">
        <v>7</v>
      </c>
    </row>
    <row r="9" customFormat="false" ht="34.5" hidden="false" customHeight="true" outlineLevel="0" collapsed="false">
      <c r="A9" s="3" t="s">
        <v>8</v>
      </c>
    </row>
    <row r="10" customFormat="false" ht="15" hidden="false" customHeight="true" outlineLevel="0" collapsed="false">
      <c r="A10" s="2" t="s">
        <v>9</v>
      </c>
    </row>
    <row r="11" customFormat="false" ht="23.25" hidden="false" customHeight="true" outlineLevel="0" collapsed="false">
      <c r="A11" s="3" t="s">
        <v>10</v>
      </c>
    </row>
    <row r="12" customFormat="false" ht="15" hidden="false" customHeight="true" outlineLevel="0" collapsed="false">
      <c r="A12" s="3" t="s">
        <v>11</v>
      </c>
    </row>
    <row r="13" customFormat="false" ht="23.25" hidden="false" customHeight="true" outlineLevel="0" collapsed="false">
      <c r="A13" s="3" t="s">
        <v>12</v>
      </c>
    </row>
    <row r="14" customFormat="false" ht="15" hidden="false" customHeight="true" outlineLevel="0" collapsed="false">
      <c r="A14" s="2" t="s">
        <v>13</v>
      </c>
    </row>
    <row r="15" customFormat="false" ht="23.25" hidden="false" customHeight="true" outlineLevel="0" collapsed="false">
      <c r="A15" s="3" t="s">
        <v>14</v>
      </c>
    </row>
    <row r="16" customFormat="false" ht="15" hidden="false" customHeight="true" outlineLevel="0" collapsed="false">
      <c r="A16" s="2" t="s">
        <v>15</v>
      </c>
    </row>
    <row r="17" customFormat="false" ht="15" hidden="false" customHeight="true" outlineLevel="0" collapsed="false">
      <c r="A17" s="3" t="s">
        <v>16</v>
      </c>
    </row>
    <row r="18" customFormat="false" ht="15" hidden="false" customHeight="true" outlineLevel="0" collapsed="false">
      <c r="A18" s="3" t="s">
        <v>17</v>
      </c>
    </row>
    <row r="19" customFormat="false" ht="15" hidden="false" customHeight="true" outlineLevel="0" collapsed="false">
      <c r="A19" s="2" t="s">
        <v>18</v>
      </c>
    </row>
    <row r="20" customFormat="false" ht="15" hidden="false" customHeight="true" outlineLevel="0" collapsed="false">
      <c r="A20" s="3" t="s">
        <v>19</v>
      </c>
    </row>
    <row r="21" customFormat="false" ht="15" hidden="false" customHeight="true" outlineLevel="0" collapsed="false">
      <c r="A21" s="3" t="s">
        <v>20</v>
      </c>
    </row>
    <row r="22" customFormat="false" ht="15" hidden="false" customHeight="true" outlineLevel="0" collapsed="false">
      <c r="A22" s="3" t="s">
        <v>21</v>
      </c>
    </row>
    <row r="23" customFormat="false" ht="23.25" hidden="false" customHeight="true" outlineLevel="0" collapsed="false">
      <c r="A23" s="3" t="s">
        <v>22</v>
      </c>
    </row>
    <row r="24" customFormat="false" ht="34.5" hidden="false" customHeight="true" outlineLevel="0" collapsed="false">
      <c r="A24" s="3" t="s">
        <v>23</v>
      </c>
    </row>
    <row r="25" customFormat="false" ht="15" hidden="false" customHeight="true" outlineLevel="0" collapsed="false">
      <c r="A25" s="2" t="s">
        <v>24</v>
      </c>
    </row>
    <row r="26" customFormat="false" ht="15" hidden="false" customHeight="true" outlineLevel="0" collapsed="false">
      <c r="A26" s="3" t="s">
        <v>25</v>
      </c>
    </row>
    <row r="27" customFormat="false" ht="15" hidden="false" customHeight="true" outlineLevel="0" collapsed="false">
      <c r="A27" s="3" t="s">
        <v>26</v>
      </c>
    </row>
    <row r="28" customFormat="false" ht="23.25" hidden="false" customHeight="true" outlineLevel="0" collapsed="false">
      <c r="A28" s="3" t="s">
        <v>27</v>
      </c>
    </row>
    <row r="29" customFormat="false" ht="23.25" hidden="false" customHeight="true" outlineLevel="0" collapsed="false">
      <c r="A29" s="3" t="s">
        <v>28</v>
      </c>
    </row>
    <row r="30" customFormat="false" ht="15" hidden="false" customHeight="true" outlineLevel="0" collapsed="false">
      <c r="A30" s="3"/>
    </row>
    <row r="31" customFormat="false" ht="15" hidden="false" customHeight="true" outlineLevel="0" collapsed="false">
      <c r="A31" s="2" t="s">
        <v>29</v>
      </c>
    </row>
    <row r="32" customFormat="false" ht="23.25" hidden="false" customHeight="true" outlineLevel="0" collapsed="false">
      <c r="A32" s="3" t="s">
        <v>30</v>
      </c>
    </row>
    <row r="33" customFormat="false" ht="23.25" hidden="false" customHeight="true" outlineLevel="0" collapsed="false">
      <c r="A33" s="3" t="s">
        <v>31</v>
      </c>
    </row>
    <row r="34" customFormat="false" ht="57" hidden="false" customHeight="true" outlineLevel="0" collapsed="false">
      <c r="A34" s="3" t="s">
        <v>32</v>
      </c>
    </row>
    <row r="35" customFormat="false" ht="34.5" hidden="false" customHeight="true" outlineLevel="0" collapsed="false">
      <c r="A35" s="3" t="s">
        <v>33</v>
      </c>
    </row>
    <row r="36" customFormat="false" ht="45.75" hidden="false" customHeight="true" outlineLevel="0" collapsed="false">
      <c r="A36" s="3" t="s">
        <v>34</v>
      </c>
    </row>
    <row r="37" customFormat="false" ht="15" hidden="false" customHeight="true" outlineLevel="0" collapsed="false">
      <c r="A37" s="3" t="s">
        <v>35</v>
      </c>
    </row>
    <row r="38" customFormat="false" ht="34.5" hidden="false" customHeight="true" outlineLevel="0" collapsed="false">
      <c r="A38" s="3" t="s">
        <v>36</v>
      </c>
    </row>
    <row r="39" customFormat="false" ht="57.45" hidden="false" customHeight="false" outlineLevel="0" collapsed="false">
      <c r="A39" s="3"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4"/>
    <col collapsed="false" customWidth="true" hidden="false" outlineLevel="0" max="2" min="2" style="1" width="10"/>
    <col collapsed="false" customWidth="true" hidden="false" outlineLevel="0" max="3" min="3" style="1" width="13"/>
    <col collapsed="false" customWidth="true" hidden="false" outlineLevel="0" max="4" min="4" style="1" width="15"/>
    <col collapsed="false" customWidth="true" hidden="false" outlineLevel="0" max="5" min="5" style="1" width="20"/>
    <col collapsed="false" customWidth="true" hidden="false" outlineLevel="0" max="6" min="6" style="1" width="52"/>
  </cols>
  <sheetData>
    <row r="1" customFormat="false" ht="15" hidden="false" customHeight="true" outlineLevel="0" collapsed="false">
      <c r="A1" s="4" t="s">
        <v>38</v>
      </c>
      <c r="B1" s="4" t="s">
        <v>39</v>
      </c>
      <c r="C1" s="4" t="s">
        <v>40</v>
      </c>
      <c r="D1" s="4" t="s">
        <v>41</v>
      </c>
      <c r="E1" s="4" t="s">
        <v>42</v>
      </c>
      <c r="F1" s="4" t="s">
        <v>43</v>
      </c>
    </row>
    <row r="2" customFormat="false" ht="15" hidden="false" customHeight="true" outlineLevel="0" collapsed="false">
      <c r="A2" s="5" t="s">
        <v>44</v>
      </c>
      <c r="B2" s="6" t="n">
        <v>18405</v>
      </c>
      <c r="C2" s="6" t="n">
        <f aca="false">MAX(1,ROUND(B2/300,0))</f>
        <v>61</v>
      </c>
      <c r="D2" s="6" t="n">
        <f aca="false">ROUND(B2/28,0)</f>
        <v>657</v>
      </c>
      <c r="E2" s="5" t="s">
        <v>45</v>
      </c>
      <c r="F2" s="5" t="s">
        <v>46</v>
      </c>
    </row>
    <row r="3" customFormat="false" ht="15" hidden="false" customHeight="true" outlineLevel="0" collapsed="false">
      <c r="A3" s="7" t="s">
        <v>47</v>
      </c>
      <c r="B3" s="8" t="n">
        <v>8757</v>
      </c>
      <c r="C3" s="8" t="n">
        <f aca="false">MAX(1,ROUND(B3/300,0))</f>
        <v>29</v>
      </c>
      <c r="D3" s="8" t="n">
        <f aca="false">ROUND(B3/28,0)</f>
        <v>313</v>
      </c>
      <c r="E3" s="7" t="s">
        <v>48</v>
      </c>
      <c r="F3" s="7" t="s">
        <v>49</v>
      </c>
    </row>
    <row r="4" customFormat="false" ht="15" hidden="false" customHeight="true" outlineLevel="0" collapsed="false">
      <c r="A4" s="7" t="s">
        <v>50</v>
      </c>
      <c r="B4" s="8" t="n">
        <v>4401</v>
      </c>
      <c r="C4" s="8" t="n">
        <f aca="false">MAX(1,ROUND(B4/300,0))</f>
        <v>15</v>
      </c>
      <c r="D4" s="8" t="n">
        <f aca="false">ROUND(B4/28,0)</f>
        <v>157</v>
      </c>
      <c r="E4" s="7" t="s">
        <v>45</v>
      </c>
      <c r="F4" s="7"/>
    </row>
    <row r="5" customFormat="false" ht="15" hidden="false" customHeight="true" outlineLevel="0" collapsed="false">
      <c r="A5" s="7" t="s">
        <v>51</v>
      </c>
      <c r="B5" s="8" t="n">
        <v>1476</v>
      </c>
      <c r="C5" s="8" t="n">
        <f aca="false">MAX(1,ROUND(B5/300,0))</f>
        <v>5</v>
      </c>
      <c r="D5" s="8" t="n">
        <f aca="false">ROUND(B5/28,0)</f>
        <v>53</v>
      </c>
      <c r="E5" s="7" t="s">
        <v>45</v>
      </c>
      <c r="F5" s="7"/>
    </row>
    <row r="7" customFormat="false" ht="39.75" hidden="false" customHeight="true" outlineLevel="0" collapsed="false">
      <c r="A7" s="9" t="s">
        <v>52</v>
      </c>
      <c r="B7" s="9"/>
      <c r="C7" s="9"/>
      <c r="D7" s="9"/>
      <c r="E7" s="9"/>
      <c r="F7" s="9"/>
    </row>
  </sheetData>
  <mergeCells count="1">
    <mergeCell ref="A7:F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8"/>
    <col collapsed="false" customWidth="true" hidden="false" outlineLevel="0" max="19" min="2" style="1" width="11"/>
    <col collapsed="false" customWidth="true" hidden="false" outlineLevel="0" max="20" min="20" style="1" width="10"/>
  </cols>
  <sheetData>
    <row r="1" customFormat="false" ht="15" hidden="false" customHeight="true" outlineLevel="0" collapsed="false">
      <c r="A1" s="10" t="s">
        <v>53</v>
      </c>
      <c r="B1" s="10"/>
      <c r="C1" s="10"/>
      <c r="D1" s="10"/>
      <c r="E1" s="10"/>
      <c r="F1" s="10"/>
      <c r="G1" s="10"/>
      <c r="H1" s="10"/>
      <c r="I1" s="10"/>
      <c r="J1" s="10"/>
      <c r="K1" s="10"/>
      <c r="L1" s="10"/>
      <c r="M1" s="10"/>
      <c r="N1" s="10"/>
      <c r="O1" s="10"/>
      <c r="P1" s="10"/>
      <c r="Q1" s="10"/>
      <c r="R1" s="10"/>
      <c r="S1" s="10"/>
      <c r="T1" s="10"/>
    </row>
    <row r="2" customFormat="false" ht="15" hidden="false" customHeight="true" outlineLevel="0" collapsed="false">
      <c r="B2" s="11" t="s">
        <v>54</v>
      </c>
      <c r="C2" s="11"/>
      <c r="D2" s="11"/>
      <c r="E2" s="11"/>
      <c r="F2" s="11"/>
      <c r="G2" s="11"/>
      <c r="H2" s="11" t="s">
        <v>55</v>
      </c>
      <c r="I2" s="11"/>
      <c r="J2" s="11"/>
      <c r="K2" s="11"/>
      <c r="L2" s="11"/>
      <c r="M2" s="11"/>
      <c r="N2" s="11" t="s">
        <v>56</v>
      </c>
      <c r="O2" s="11"/>
      <c r="P2" s="11"/>
      <c r="Q2" s="11"/>
      <c r="R2" s="11"/>
      <c r="S2" s="11"/>
    </row>
    <row r="3" customFormat="false" ht="15" hidden="false" customHeight="true" outlineLevel="0" collapsed="false">
      <c r="A3" s="4" t="s">
        <v>57</v>
      </c>
      <c r="B3" s="4" t="s">
        <v>58</v>
      </c>
      <c r="C3" s="4" t="s">
        <v>59</v>
      </c>
      <c r="D3" s="4" t="s">
        <v>60</v>
      </c>
      <c r="E3" s="4" t="s">
        <v>61</v>
      </c>
      <c r="F3" s="4" t="s">
        <v>62</v>
      </c>
      <c r="G3" s="4" t="s">
        <v>63</v>
      </c>
      <c r="H3" s="4" t="s">
        <v>58</v>
      </c>
      <c r="I3" s="4" t="s">
        <v>59</v>
      </c>
      <c r="J3" s="4" t="s">
        <v>60</v>
      </c>
      <c r="K3" s="4" t="s">
        <v>61</v>
      </c>
      <c r="L3" s="4" t="s">
        <v>62</v>
      </c>
      <c r="M3" s="4" t="s">
        <v>63</v>
      </c>
      <c r="N3" s="4" t="s">
        <v>58</v>
      </c>
      <c r="O3" s="4" t="s">
        <v>59</v>
      </c>
      <c r="P3" s="4" t="s">
        <v>60</v>
      </c>
      <c r="Q3" s="4" t="s">
        <v>61</v>
      </c>
      <c r="R3" s="4" t="s">
        <v>62</v>
      </c>
      <c r="S3" s="4" t="s">
        <v>63</v>
      </c>
      <c r="T3" s="4" t="s">
        <v>64</v>
      </c>
    </row>
    <row r="4" customFormat="false" ht="15" hidden="false" customHeight="true" outlineLevel="0" collapsed="false">
      <c r="A4" s="12" t="s">
        <v>65</v>
      </c>
      <c r="B4" s="8" t="n">
        <v>50</v>
      </c>
      <c r="C4" s="8" t="n">
        <v>25</v>
      </c>
      <c r="D4" s="8" t="n">
        <v>14</v>
      </c>
      <c r="E4" s="8" t="n">
        <v>10</v>
      </c>
      <c r="F4" s="8" t="n">
        <v>8</v>
      </c>
      <c r="G4" s="8" t="n">
        <v>7</v>
      </c>
      <c r="H4" s="8" t="n">
        <v>37</v>
      </c>
      <c r="I4" s="8" t="n">
        <v>17</v>
      </c>
      <c r="J4" s="8" t="n">
        <v>14</v>
      </c>
      <c r="K4" s="8" t="n">
        <v>10</v>
      </c>
      <c r="L4" s="8" t="n">
        <v>8</v>
      </c>
      <c r="M4" s="8" t="n">
        <v>7</v>
      </c>
      <c r="N4" s="8" t="n">
        <v>13</v>
      </c>
      <c r="O4" s="8" t="n">
        <v>8</v>
      </c>
      <c r="P4" s="8" t="n">
        <v>0</v>
      </c>
      <c r="Q4" s="8" t="n">
        <v>0</v>
      </c>
      <c r="R4" s="8" t="n">
        <v>0</v>
      </c>
      <c r="S4" s="8" t="n">
        <v>0</v>
      </c>
      <c r="T4" s="12" t="s">
        <v>66</v>
      </c>
    </row>
    <row r="5" customFormat="false" ht="15" hidden="false" customHeight="true" outlineLevel="0" collapsed="false">
      <c r="A5" s="12" t="s">
        <v>67</v>
      </c>
      <c r="B5" s="8" t="n">
        <v>294</v>
      </c>
      <c r="C5" s="8" t="n">
        <v>113</v>
      </c>
      <c r="D5" s="8" t="n">
        <v>95</v>
      </c>
      <c r="E5" s="8" t="n">
        <v>55</v>
      </c>
      <c r="F5" s="8" t="n">
        <v>28</v>
      </c>
      <c r="G5" s="8" t="n">
        <v>22</v>
      </c>
      <c r="H5" s="8" t="n">
        <v>236</v>
      </c>
      <c r="I5" s="8" t="n">
        <v>90</v>
      </c>
      <c r="J5" s="8" t="n">
        <v>81</v>
      </c>
      <c r="K5" s="8" t="n">
        <v>46</v>
      </c>
      <c r="L5" s="8" t="n">
        <v>22</v>
      </c>
      <c r="M5" s="8" t="n">
        <v>18</v>
      </c>
      <c r="N5" s="8" t="n">
        <v>58</v>
      </c>
      <c r="O5" s="8" t="n">
        <v>23</v>
      </c>
      <c r="P5" s="8" t="n">
        <v>14</v>
      </c>
      <c r="Q5" s="8" t="n">
        <v>9</v>
      </c>
      <c r="R5" s="8" t="n">
        <v>6</v>
      </c>
      <c r="S5" s="8" t="n">
        <v>4</v>
      </c>
      <c r="T5" s="12" t="s">
        <v>68</v>
      </c>
    </row>
    <row r="6" customFormat="false" ht="15" hidden="false" customHeight="true" outlineLevel="0" collapsed="false">
      <c r="A6" s="12" t="s">
        <v>69</v>
      </c>
      <c r="B6" s="8" t="n">
        <v>180</v>
      </c>
      <c r="C6" s="8" t="n">
        <v>64</v>
      </c>
      <c r="D6" s="8" t="n">
        <v>80</v>
      </c>
      <c r="E6" s="8" t="n">
        <v>39</v>
      </c>
      <c r="F6" s="8" t="n">
        <v>30</v>
      </c>
      <c r="G6" s="8" t="n">
        <v>20</v>
      </c>
      <c r="H6" s="8" t="n">
        <v>116</v>
      </c>
      <c r="I6" s="8" t="n">
        <v>42</v>
      </c>
      <c r="J6" s="8" t="n">
        <v>60</v>
      </c>
      <c r="K6" s="8" t="n">
        <v>26</v>
      </c>
      <c r="L6" s="8" t="n">
        <v>23</v>
      </c>
      <c r="M6" s="8" t="n">
        <v>14</v>
      </c>
      <c r="N6" s="8" t="n">
        <v>64</v>
      </c>
      <c r="O6" s="8" t="n">
        <v>22</v>
      </c>
      <c r="P6" s="8" t="n">
        <v>20</v>
      </c>
      <c r="Q6" s="8" t="n">
        <v>13</v>
      </c>
      <c r="R6" s="8" t="n">
        <v>7</v>
      </c>
      <c r="S6" s="8" t="n">
        <v>6</v>
      </c>
      <c r="T6" s="12" t="s">
        <v>70</v>
      </c>
    </row>
    <row r="7" customFormat="false" ht="15" hidden="false" customHeight="true" outlineLevel="0" collapsed="false">
      <c r="A7" s="12" t="s">
        <v>71</v>
      </c>
      <c r="B7" s="8" t="n">
        <v>273</v>
      </c>
      <c r="C7" s="8" t="n">
        <v>107</v>
      </c>
      <c r="D7" s="8" t="n">
        <v>51</v>
      </c>
      <c r="E7" s="8" t="n">
        <v>27</v>
      </c>
      <c r="F7" s="8" t="n">
        <v>19</v>
      </c>
      <c r="G7" s="8" t="n">
        <v>16</v>
      </c>
      <c r="H7" s="8" t="n">
        <v>189</v>
      </c>
      <c r="I7" s="8" t="n">
        <v>70</v>
      </c>
      <c r="J7" s="8" t="n">
        <v>40</v>
      </c>
      <c r="K7" s="8" t="n">
        <v>21</v>
      </c>
      <c r="L7" s="8" t="n">
        <v>14</v>
      </c>
      <c r="M7" s="8" t="n">
        <v>12</v>
      </c>
      <c r="N7" s="8" t="n">
        <v>84</v>
      </c>
      <c r="O7" s="8" t="n">
        <v>37</v>
      </c>
      <c r="P7" s="8" t="n">
        <v>11</v>
      </c>
      <c r="Q7" s="8" t="n">
        <v>6</v>
      </c>
      <c r="R7" s="8" t="n">
        <v>5</v>
      </c>
      <c r="S7" s="8" t="n">
        <v>4</v>
      </c>
      <c r="T7" s="12" t="s">
        <v>72</v>
      </c>
    </row>
    <row r="8" customFormat="false" ht="15" hidden="false" customHeight="true" outlineLevel="0" collapsed="false">
      <c r="A8" s="12" t="s">
        <v>73</v>
      </c>
      <c r="B8" s="8" t="n">
        <v>1499</v>
      </c>
      <c r="C8" s="8" t="n">
        <v>648</v>
      </c>
      <c r="D8" s="8" t="n">
        <v>306</v>
      </c>
      <c r="E8" s="8" t="n">
        <v>195</v>
      </c>
      <c r="F8" s="8" t="n">
        <v>106</v>
      </c>
      <c r="G8" s="8" t="n">
        <v>90</v>
      </c>
      <c r="H8" s="8" t="n">
        <v>686</v>
      </c>
      <c r="I8" s="8" t="n">
        <v>394</v>
      </c>
      <c r="J8" s="8" t="n">
        <v>147</v>
      </c>
      <c r="K8" s="8" t="n">
        <v>110</v>
      </c>
      <c r="L8" s="8" t="n">
        <v>51</v>
      </c>
      <c r="M8" s="8" t="n">
        <v>46</v>
      </c>
      <c r="N8" s="8" t="n">
        <v>813</v>
      </c>
      <c r="O8" s="8" t="n">
        <v>254</v>
      </c>
      <c r="P8" s="8" t="n">
        <v>159</v>
      </c>
      <c r="Q8" s="8" t="n">
        <v>85</v>
      </c>
      <c r="R8" s="8" t="n">
        <v>55</v>
      </c>
      <c r="S8" s="8" t="n">
        <v>44</v>
      </c>
      <c r="T8" s="12" t="s">
        <v>74</v>
      </c>
    </row>
    <row r="9" customFormat="false" ht="15" hidden="false" customHeight="true" outlineLevel="0" collapsed="false">
      <c r="A9" s="12" t="s">
        <v>75</v>
      </c>
      <c r="B9" s="8" t="n">
        <v>352</v>
      </c>
      <c r="C9" s="8" t="n">
        <v>107</v>
      </c>
      <c r="D9" s="8" t="n">
        <v>82</v>
      </c>
      <c r="E9" s="8" t="n">
        <v>37</v>
      </c>
      <c r="F9" s="8" t="n">
        <v>24</v>
      </c>
      <c r="G9" s="8" t="n">
        <v>16</v>
      </c>
      <c r="H9" s="8" t="n">
        <v>205</v>
      </c>
      <c r="I9" s="8" t="n">
        <v>57</v>
      </c>
      <c r="J9" s="8" t="n">
        <v>56</v>
      </c>
      <c r="K9" s="8" t="n">
        <v>21</v>
      </c>
      <c r="L9" s="8" t="n">
        <v>21</v>
      </c>
      <c r="M9" s="8" t="n">
        <v>13</v>
      </c>
      <c r="N9" s="8" t="n">
        <v>147</v>
      </c>
      <c r="O9" s="8" t="n">
        <v>50</v>
      </c>
      <c r="P9" s="8" t="n">
        <v>26</v>
      </c>
      <c r="Q9" s="8" t="n">
        <v>16</v>
      </c>
      <c r="R9" s="8" t="n">
        <v>3</v>
      </c>
      <c r="S9" s="8" t="n">
        <v>3</v>
      </c>
      <c r="T9" s="12" t="s">
        <v>76</v>
      </c>
    </row>
    <row r="10" customFormat="false" ht="15" hidden="false" customHeight="true" outlineLevel="0" collapsed="false">
      <c r="A10" s="12" t="s">
        <v>77</v>
      </c>
      <c r="B10" s="8" t="n">
        <v>254</v>
      </c>
      <c r="C10" s="8" t="n">
        <v>57</v>
      </c>
      <c r="D10" s="8" t="n">
        <v>32</v>
      </c>
      <c r="E10" s="8" t="n">
        <v>14</v>
      </c>
      <c r="F10" s="8" t="n">
        <v>6</v>
      </c>
      <c r="G10" s="8" t="n">
        <v>6</v>
      </c>
      <c r="H10" s="8" t="n">
        <v>175</v>
      </c>
      <c r="I10" s="8" t="n">
        <v>26</v>
      </c>
      <c r="J10" s="8" t="n">
        <v>24</v>
      </c>
      <c r="K10" s="8" t="n">
        <v>7</v>
      </c>
      <c r="L10" s="8" t="n">
        <v>4</v>
      </c>
      <c r="M10" s="8" t="n">
        <v>4</v>
      </c>
      <c r="N10" s="8" t="n">
        <v>79</v>
      </c>
      <c r="O10" s="8" t="n">
        <v>31</v>
      </c>
      <c r="P10" s="8" t="n">
        <v>8</v>
      </c>
      <c r="Q10" s="8" t="n">
        <v>7</v>
      </c>
      <c r="R10" s="8" t="n">
        <v>2</v>
      </c>
      <c r="S10" s="8" t="n">
        <v>2</v>
      </c>
      <c r="T10" s="12" t="s">
        <v>78</v>
      </c>
    </row>
    <row r="11" customFormat="false" ht="15" hidden="false" customHeight="true" outlineLevel="0" collapsed="false">
      <c r="A11" s="12" t="s">
        <v>79</v>
      </c>
      <c r="B11" s="8" t="n">
        <v>34</v>
      </c>
      <c r="C11" s="8" t="n">
        <v>16</v>
      </c>
      <c r="D11" s="8" t="n">
        <v>1</v>
      </c>
      <c r="E11" s="8" t="n">
        <v>1</v>
      </c>
      <c r="F11" s="8" t="n">
        <v>0</v>
      </c>
      <c r="G11" s="8" t="n">
        <v>0</v>
      </c>
      <c r="H11" s="8" t="n">
        <v>22</v>
      </c>
      <c r="I11" s="8" t="n">
        <v>9</v>
      </c>
      <c r="J11" s="8" t="n">
        <v>0</v>
      </c>
      <c r="K11" s="8" t="n">
        <v>0</v>
      </c>
      <c r="L11" s="8" t="n">
        <v>0</v>
      </c>
      <c r="M11" s="8" t="n">
        <v>0</v>
      </c>
      <c r="N11" s="8" t="n">
        <v>12</v>
      </c>
      <c r="O11" s="8" t="n">
        <v>7</v>
      </c>
      <c r="P11" s="8" t="n">
        <v>1</v>
      </c>
      <c r="Q11" s="8" t="n">
        <v>1</v>
      </c>
      <c r="R11" s="8" t="n">
        <v>0</v>
      </c>
      <c r="S11" s="8" t="n">
        <v>0</v>
      </c>
      <c r="T11" s="12" t="s">
        <v>80</v>
      </c>
    </row>
    <row r="12" customFormat="false" ht="15" hidden="false" customHeight="true" outlineLevel="0" collapsed="false">
      <c r="A12" s="12" t="s">
        <v>81</v>
      </c>
      <c r="B12" s="8" t="n">
        <v>28</v>
      </c>
      <c r="C12" s="8" t="n">
        <v>14</v>
      </c>
      <c r="D12" s="8" t="n">
        <v>2</v>
      </c>
      <c r="E12" s="8" t="n">
        <v>2</v>
      </c>
      <c r="F12" s="8" t="n">
        <v>1</v>
      </c>
      <c r="G12" s="8" t="n">
        <v>1</v>
      </c>
      <c r="H12" s="8" t="n">
        <v>25</v>
      </c>
      <c r="I12" s="8" t="n">
        <v>12</v>
      </c>
      <c r="J12" s="8" t="n">
        <v>1</v>
      </c>
      <c r="K12" s="8" t="n">
        <v>1</v>
      </c>
      <c r="L12" s="8" t="n">
        <v>1</v>
      </c>
      <c r="M12" s="8" t="n">
        <v>1</v>
      </c>
      <c r="N12" s="8" t="n">
        <v>3</v>
      </c>
      <c r="O12" s="8" t="n">
        <v>2</v>
      </c>
      <c r="P12" s="8" t="n">
        <v>1</v>
      </c>
      <c r="Q12" s="8" t="n">
        <v>1</v>
      </c>
      <c r="R12" s="8" t="n">
        <v>0</v>
      </c>
      <c r="S12" s="8" t="n">
        <v>0</v>
      </c>
      <c r="T12" s="12" t="s">
        <v>80</v>
      </c>
    </row>
    <row r="13" customFormat="false" ht="15" hidden="false" customHeight="true" outlineLevel="0" collapsed="false">
      <c r="A13" s="12" t="s">
        <v>82</v>
      </c>
      <c r="B13" s="8" t="n">
        <v>1107</v>
      </c>
      <c r="C13" s="8" t="n">
        <v>273</v>
      </c>
      <c r="D13" s="8" t="n">
        <v>159</v>
      </c>
      <c r="E13" s="8" t="n">
        <v>67</v>
      </c>
      <c r="F13" s="8" t="n">
        <v>46</v>
      </c>
      <c r="G13" s="8" t="n">
        <v>32</v>
      </c>
      <c r="H13" s="8" t="n">
        <v>829</v>
      </c>
      <c r="I13" s="8" t="n">
        <v>153</v>
      </c>
      <c r="J13" s="8" t="n">
        <v>120</v>
      </c>
      <c r="K13" s="8" t="n">
        <v>40</v>
      </c>
      <c r="L13" s="8" t="n">
        <v>33</v>
      </c>
      <c r="M13" s="8" t="n">
        <v>21</v>
      </c>
      <c r="N13" s="8" t="n">
        <v>278</v>
      </c>
      <c r="O13" s="8" t="n">
        <v>120</v>
      </c>
      <c r="P13" s="8" t="n">
        <v>39</v>
      </c>
      <c r="Q13" s="8" t="n">
        <v>27</v>
      </c>
      <c r="R13" s="8" t="n">
        <v>13</v>
      </c>
      <c r="S13" s="8" t="n">
        <v>11</v>
      </c>
      <c r="T13" s="12" t="s">
        <v>83</v>
      </c>
    </row>
    <row r="14" customFormat="false" ht="15" hidden="false" customHeight="true" outlineLevel="0" collapsed="false">
      <c r="A14" s="12" t="s">
        <v>84</v>
      </c>
      <c r="B14" s="8" t="n">
        <v>683</v>
      </c>
      <c r="C14" s="8" t="n">
        <v>220</v>
      </c>
      <c r="D14" s="8" t="n">
        <v>185</v>
      </c>
      <c r="E14" s="8" t="n">
        <v>86</v>
      </c>
      <c r="F14" s="8" t="n">
        <v>63</v>
      </c>
      <c r="G14" s="8" t="n">
        <v>36</v>
      </c>
      <c r="H14" s="8" t="n">
        <v>561</v>
      </c>
      <c r="I14" s="8" t="n">
        <v>171</v>
      </c>
      <c r="J14" s="8" t="n">
        <v>163</v>
      </c>
      <c r="K14" s="8" t="n">
        <v>74</v>
      </c>
      <c r="L14" s="8" t="n">
        <v>59</v>
      </c>
      <c r="M14" s="8" t="n">
        <v>33</v>
      </c>
      <c r="N14" s="8" t="n">
        <v>122</v>
      </c>
      <c r="O14" s="8" t="n">
        <v>49</v>
      </c>
      <c r="P14" s="8" t="n">
        <v>22</v>
      </c>
      <c r="Q14" s="8" t="n">
        <v>12</v>
      </c>
      <c r="R14" s="8" t="n">
        <v>4</v>
      </c>
      <c r="S14" s="8" t="n">
        <v>3</v>
      </c>
      <c r="T14" s="12" t="s">
        <v>85</v>
      </c>
    </row>
    <row r="15" customFormat="false" ht="15" hidden="false" customHeight="true" outlineLevel="0" collapsed="false">
      <c r="A15" s="12" t="s">
        <v>86</v>
      </c>
      <c r="B15" s="8" t="n">
        <v>80</v>
      </c>
      <c r="C15" s="8" t="n">
        <v>40</v>
      </c>
      <c r="D15" s="8" t="n">
        <v>19</v>
      </c>
      <c r="E15" s="8" t="n">
        <v>15</v>
      </c>
      <c r="F15" s="8" t="n">
        <v>11</v>
      </c>
      <c r="G15" s="8" t="n">
        <v>10</v>
      </c>
      <c r="H15" s="8" t="n">
        <v>36</v>
      </c>
      <c r="I15" s="8" t="n">
        <v>27</v>
      </c>
      <c r="J15" s="8" t="n">
        <v>12</v>
      </c>
      <c r="K15" s="8" t="n">
        <v>10</v>
      </c>
      <c r="L15" s="8" t="n">
        <v>8</v>
      </c>
      <c r="M15" s="8" t="n">
        <v>7</v>
      </c>
      <c r="N15" s="8" t="n">
        <v>44</v>
      </c>
      <c r="O15" s="8" t="n">
        <v>13</v>
      </c>
      <c r="P15" s="8" t="n">
        <v>7</v>
      </c>
      <c r="Q15" s="8" t="n">
        <v>5</v>
      </c>
      <c r="R15" s="8" t="n">
        <v>3</v>
      </c>
      <c r="S15" s="8" t="n">
        <v>3</v>
      </c>
      <c r="T15" s="12" t="s">
        <v>74</v>
      </c>
    </row>
    <row r="16" customFormat="false" ht="15" hidden="false" customHeight="true" outlineLevel="0" collapsed="false">
      <c r="A16" s="12" t="s">
        <v>87</v>
      </c>
      <c r="B16" s="8" t="n">
        <v>179</v>
      </c>
      <c r="C16" s="8" t="n">
        <v>51</v>
      </c>
      <c r="D16" s="8" t="n">
        <v>57</v>
      </c>
      <c r="E16" s="8" t="n">
        <v>28</v>
      </c>
      <c r="F16" s="8" t="n">
        <v>17</v>
      </c>
      <c r="G16" s="8" t="n">
        <v>11</v>
      </c>
      <c r="H16" s="8" t="n">
        <v>121</v>
      </c>
      <c r="I16" s="8" t="n">
        <v>28</v>
      </c>
      <c r="J16" s="8" t="n">
        <v>43</v>
      </c>
      <c r="K16" s="8" t="n">
        <v>17</v>
      </c>
      <c r="L16" s="8" t="n">
        <v>13</v>
      </c>
      <c r="M16" s="8" t="n">
        <v>7</v>
      </c>
      <c r="N16" s="8" t="n">
        <v>58</v>
      </c>
      <c r="O16" s="8" t="n">
        <v>23</v>
      </c>
      <c r="P16" s="8" t="n">
        <v>14</v>
      </c>
      <c r="Q16" s="8" t="n">
        <v>11</v>
      </c>
      <c r="R16" s="8" t="n">
        <v>4</v>
      </c>
      <c r="S16" s="8" t="n">
        <v>4</v>
      </c>
      <c r="T16" s="12" t="s">
        <v>88</v>
      </c>
    </row>
    <row r="17" customFormat="false" ht="15" hidden="false" customHeight="true" outlineLevel="0" collapsed="false">
      <c r="A17" s="12" t="s">
        <v>89</v>
      </c>
      <c r="B17" s="8" t="n">
        <v>102</v>
      </c>
      <c r="C17" s="8" t="n">
        <v>32</v>
      </c>
      <c r="D17" s="8" t="n">
        <v>33</v>
      </c>
      <c r="E17" s="8" t="n">
        <v>15</v>
      </c>
      <c r="F17" s="8" t="n">
        <v>7</v>
      </c>
      <c r="G17" s="8" t="n">
        <v>6</v>
      </c>
      <c r="H17" s="8" t="n">
        <v>58</v>
      </c>
      <c r="I17" s="8" t="n">
        <v>20</v>
      </c>
      <c r="J17" s="8" t="n">
        <v>19</v>
      </c>
      <c r="K17" s="8" t="n">
        <v>10</v>
      </c>
      <c r="L17" s="8" t="n">
        <v>4</v>
      </c>
      <c r="M17" s="8" t="n">
        <v>3</v>
      </c>
      <c r="N17" s="8" t="n">
        <v>44</v>
      </c>
      <c r="O17" s="8" t="n">
        <v>12</v>
      </c>
      <c r="P17" s="8" t="n">
        <v>14</v>
      </c>
      <c r="Q17" s="8" t="n">
        <v>5</v>
      </c>
      <c r="R17" s="8" t="n">
        <v>3</v>
      </c>
      <c r="S17" s="8" t="n">
        <v>3</v>
      </c>
      <c r="T17" s="12" t="s">
        <v>72</v>
      </c>
    </row>
    <row r="18" customFormat="false" ht="15" hidden="false" customHeight="true" outlineLevel="0" collapsed="false">
      <c r="A18" s="12" t="s">
        <v>90</v>
      </c>
      <c r="B18" s="8" t="n">
        <v>718</v>
      </c>
      <c r="C18" s="8" t="n">
        <v>241</v>
      </c>
      <c r="D18" s="8" t="n">
        <v>113</v>
      </c>
      <c r="E18" s="8" t="n">
        <v>68</v>
      </c>
      <c r="F18" s="8" t="n">
        <v>22</v>
      </c>
      <c r="G18" s="8" t="n">
        <v>21</v>
      </c>
      <c r="H18" s="8" t="n">
        <v>370</v>
      </c>
      <c r="I18" s="8" t="n">
        <v>160</v>
      </c>
      <c r="J18" s="8" t="n">
        <v>62</v>
      </c>
      <c r="K18" s="8" t="n">
        <v>42</v>
      </c>
      <c r="L18" s="8" t="n">
        <v>13</v>
      </c>
      <c r="M18" s="8" t="n">
        <v>12</v>
      </c>
      <c r="N18" s="8" t="n">
        <v>348</v>
      </c>
      <c r="O18" s="8" t="n">
        <v>81</v>
      </c>
      <c r="P18" s="8" t="n">
        <v>51</v>
      </c>
      <c r="Q18" s="8" t="n">
        <v>26</v>
      </c>
      <c r="R18" s="8" t="n">
        <v>9</v>
      </c>
      <c r="S18" s="8" t="n">
        <v>9</v>
      </c>
      <c r="T18" s="12" t="s">
        <v>91</v>
      </c>
    </row>
    <row r="19" customFormat="false" ht="15" hidden="false" customHeight="true" outlineLevel="0" collapsed="false">
      <c r="A19" s="12" t="s">
        <v>92</v>
      </c>
      <c r="B19" s="8" t="n">
        <v>442</v>
      </c>
      <c r="C19" s="8" t="n">
        <v>111</v>
      </c>
      <c r="D19" s="8" t="n">
        <v>182</v>
      </c>
      <c r="E19" s="8" t="n">
        <v>58</v>
      </c>
      <c r="F19" s="8" t="n">
        <v>64</v>
      </c>
      <c r="G19" s="8" t="n">
        <v>31</v>
      </c>
      <c r="H19" s="8" t="n">
        <v>269</v>
      </c>
      <c r="I19" s="8" t="n">
        <v>63</v>
      </c>
      <c r="J19" s="8" t="n">
        <v>122</v>
      </c>
      <c r="K19" s="8" t="n">
        <v>32</v>
      </c>
      <c r="L19" s="8" t="n">
        <v>45</v>
      </c>
      <c r="M19" s="8" t="n">
        <v>18</v>
      </c>
      <c r="N19" s="8" t="n">
        <v>173</v>
      </c>
      <c r="O19" s="8" t="n">
        <v>48</v>
      </c>
      <c r="P19" s="8" t="n">
        <v>60</v>
      </c>
      <c r="Q19" s="8" t="n">
        <v>26</v>
      </c>
      <c r="R19" s="8" t="n">
        <v>19</v>
      </c>
      <c r="S19" s="8" t="n">
        <v>13</v>
      </c>
      <c r="T19" s="12" t="s">
        <v>93</v>
      </c>
    </row>
    <row r="20" customFormat="false" ht="15" hidden="false" customHeight="true" outlineLevel="0" collapsed="false">
      <c r="A20" s="12" t="s">
        <v>94</v>
      </c>
      <c r="B20" s="8" t="n">
        <v>176</v>
      </c>
      <c r="C20" s="8" t="n">
        <v>51</v>
      </c>
      <c r="D20" s="8" t="n">
        <v>60</v>
      </c>
      <c r="E20" s="8" t="n">
        <v>23</v>
      </c>
      <c r="F20" s="8" t="n">
        <v>22</v>
      </c>
      <c r="G20" s="8" t="n">
        <v>11</v>
      </c>
      <c r="H20" s="8" t="n">
        <v>136</v>
      </c>
      <c r="I20" s="8" t="n">
        <v>32</v>
      </c>
      <c r="J20" s="8" t="n">
        <v>50</v>
      </c>
      <c r="K20" s="8" t="n">
        <v>16</v>
      </c>
      <c r="L20" s="8" t="n">
        <v>17</v>
      </c>
      <c r="M20" s="8" t="n">
        <v>8</v>
      </c>
      <c r="N20" s="8" t="n">
        <v>40</v>
      </c>
      <c r="O20" s="8" t="n">
        <v>19</v>
      </c>
      <c r="P20" s="8" t="n">
        <v>10</v>
      </c>
      <c r="Q20" s="8" t="n">
        <v>7</v>
      </c>
      <c r="R20" s="8" t="n">
        <v>5</v>
      </c>
      <c r="S20" s="8" t="n">
        <v>3</v>
      </c>
      <c r="T20" s="12" t="s">
        <v>95</v>
      </c>
    </row>
    <row r="21" customFormat="false" ht="15" hidden="false" customHeight="true" outlineLevel="0" collapsed="false">
      <c r="A21" s="12" t="s">
        <v>96</v>
      </c>
      <c r="B21" s="8" t="n">
        <v>277</v>
      </c>
      <c r="C21" s="8" t="n">
        <v>77</v>
      </c>
      <c r="D21" s="8" t="n">
        <v>93</v>
      </c>
      <c r="E21" s="8" t="n">
        <v>41</v>
      </c>
      <c r="F21" s="8" t="n">
        <v>36</v>
      </c>
      <c r="G21" s="8" t="n">
        <v>22</v>
      </c>
      <c r="H21" s="8" t="n">
        <v>170</v>
      </c>
      <c r="I21" s="8" t="n">
        <v>47</v>
      </c>
      <c r="J21" s="8" t="n">
        <v>57</v>
      </c>
      <c r="K21" s="8" t="n">
        <v>28</v>
      </c>
      <c r="L21" s="8" t="n">
        <v>23</v>
      </c>
      <c r="M21" s="8" t="n">
        <v>14</v>
      </c>
      <c r="N21" s="8" t="n">
        <v>107</v>
      </c>
      <c r="O21" s="8" t="n">
        <v>30</v>
      </c>
      <c r="P21" s="8" t="n">
        <v>36</v>
      </c>
      <c r="Q21" s="8" t="n">
        <v>13</v>
      </c>
      <c r="R21" s="8" t="n">
        <v>13</v>
      </c>
      <c r="S21" s="8" t="n">
        <v>8</v>
      </c>
      <c r="T21" s="12" t="s">
        <v>97</v>
      </c>
    </row>
    <row r="22" customFormat="false" ht="15" hidden="false" customHeight="true" outlineLevel="0" collapsed="false">
      <c r="A22" s="12" t="s">
        <v>98</v>
      </c>
      <c r="B22" s="8" t="n">
        <v>297</v>
      </c>
      <c r="C22" s="8" t="n">
        <v>112</v>
      </c>
      <c r="D22" s="8" t="n">
        <v>73</v>
      </c>
      <c r="E22" s="8" t="n">
        <v>42</v>
      </c>
      <c r="F22" s="8" t="n">
        <v>21</v>
      </c>
      <c r="G22" s="8" t="n">
        <v>16</v>
      </c>
      <c r="H22" s="8" t="n">
        <v>160</v>
      </c>
      <c r="I22" s="8" t="n">
        <v>65</v>
      </c>
      <c r="J22" s="8" t="n">
        <v>44</v>
      </c>
      <c r="K22" s="8" t="n">
        <v>25</v>
      </c>
      <c r="L22" s="8" t="n">
        <v>13</v>
      </c>
      <c r="M22" s="8" t="n">
        <v>9</v>
      </c>
      <c r="N22" s="8" t="n">
        <v>137</v>
      </c>
      <c r="O22" s="8" t="n">
        <v>47</v>
      </c>
      <c r="P22" s="8" t="n">
        <v>29</v>
      </c>
      <c r="Q22" s="8" t="n">
        <v>17</v>
      </c>
      <c r="R22" s="8" t="n">
        <v>8</v>
      </c>
      <c r="S22" s="8" t="n">
        <v>7</v>
      </c>
      <c r="T22" s="12" t="s">
        <v>70</v>
      </c>
    </row>
    <row r="23" customFormat="false" ht="15" hidden="false" customHeight="true" outlineLevel="0" collapsed="false">
      <c r="A23" s="12" t="s">
        <v>99</v>
      </c>
      <c r="B23" s="8" t="n">
        <v>353</v>
      </c>
      <c r="C23" s="8" t="n">
        <v>119</v>
      </c>
      <c r="D23" s="8" t="n">
        <v>44</v>
      </c>
      <c r="E23" s="8" t="n">
        <v>34</v>
      </c>
      <c r="F23" s="8" t="n">
        <v>11</v>
      </c>
      <c r="G23" s="8" t="n">
        <v>10</v>
      </c>
      <c r="H23" s="8" t="n">
        <v>175</v>
      </c>
      <c r="I23" s="8" t="n">
        <v>74</v>
      </c>
      <c r="J23" s="8" t="n">
        <v>27</v>
      </c>
      <c r="K23" s="8" t="n">
        <v>19</v>
      </c>
      <c r="L23" s="8" t="n">
        <v>7</v>
      </c>
      <c r="M23" s="8" t="n">
        <v>7</v>
      </c>
      <c r="N23" s="8" t="n">
        <v>178</v>
      </c>
      <c r="O23" s="8" t="n">
        <v>45</v>
      </c>
      <c r="P23" s="8" t="n">
        <v>17</v>
      </c>
      <c r="Q23" s="8" t="n">
        <v>15</v>
      </c>
      <c r="R23" s="8" t="n">
        <v>4</v>
      </c>
      <c r="S23" s="8" t="n">
        <v>3</v>
      </c>
      <c r="T23" s="12" t="s">
        <v>78</v>
      </c>
    </row>
    <row r="24" customFormat="false" ht="15" hidden="false" customHeight="true" outlineLevel="0" collapsed="false">
      <c r="A24" s="12" t="s">
        <v>100</v>
      </c>
      <c r="B24" s="8" t="n">
        <v>320</v>
      </c>
      <c r="C24" s="8" t="n">
        <v>97</v>
      </c>
      <c r="D24" s="8" t="n">
        <v>42</v>
      </c>
      <c r="E24" s="8" t="n">
        <v>26</v>
      </c>
      <c r="F24" s="8" t="n">
        <v>14</v>
      </c>
      <c r="G24" s="8" t="n">
        <v>13</v>
      </c>
      <c r="H24" s="8" t="n">
        <v>205</v>
      </c>
      <c r="I24" s="8" t="n">
        <v>50</v>
      </c>
      <c r="J24" s="8" t="n">
        <v>31</v>
      </c>
      <c r="K24" s="8" t="n">
        <v>15</v>
      </c>
      <c r="L24" s="8" t="n">
        <v>8</v>
      </c>
      <c r="M24" s="8" t="n">
        <v>7</v>
      </c>
      <c r="N24" s="8" t="n">
        <v>115</v>
      </c>
      <c r="O24" s="8" t="n">
        <v>47</v>
      </c>
      <c r="P24" s="8" t="n">
        <v>11</v>
      </c>
      <c r="Q24" s="8" t="n">
        <v>11</v>
      </c>
      <c r="R24" s="8" t="n">
        <v>6</v>
      </c>
      <c r="S24" s="8" t="n">
        <v>6</v>
      </c>
      <c r="T24" s="12" t="s">
        <v>80</v>
      </c>
    </row>
    <row r="25" customFormat="false" ht="15" hidden="false" customHeight="true" outlineLevel="0" collapsed="false">
      <c r="A25" s="12" t="s">
        <v>101</v>
      </c>
      <c r="B25" s="8" t="n">
        <v>110</v>
      </c>
      <c r="C25" s="8" t="n">
        <v>41</v>
      </c>
      <c r="D25" s="8" t="n">
        <v>22</v>
      </c>
      <c r="E25" s="8" t="n">
        <v>7</v>
      </c>
      <c r="F25" s="8" t="n">
        <v>6</v>
      </c>
      <c r="G25" s="8" t="n">
        <v>2</v>
      </c>
      <c r="H25" s="8" t="n">
        <v>42</v>
      </c>
      <c r="I25" s="8" t="n">
        <v>16</v>
      </c>
      <c r="J25" s="8" t="n">
        <v>18</v>
      </c>
      <c r="K25" s="8" t="n">
        <v>3</v>
      </c>
      <c r="L25" s="8" t="n">
        <v>5</v>
      </c>
      <c r="M25" s="8" t="n">
        <v>1</v>
      </c>
      <c r="N25" s="8" t="n">
        <v>68</v>
      </c>
      <c r="O25" s="8" t="n">
        <v>25</v>
      </c>
      <c r="P25" s="8" t="n">
        <v>4</v>
      </c>
      <c r="Q25" s="8" t="n">
        <v>4</v>
      </c>
      <c r="R25" s="8" t="n">
        <v>1</v>
      </c>
      <c r="S25" s="8" t="n">
        <v>1</v>
      </c>
      <c r="T25" s="12" t="s">
        <v>78</v>
      </c>
    </row>
    <row r="26" customFormat="false" ht="15" hidden="false" customHeight="true" outlineLevel="0" collapsed="false">
      <c r="A26" s="12" t="s">
        <v>102</v>
      </c>
      <c r="B26" s="8" t="n">
        <v>746</v>
      </c>
      <c r="C26" s="8" t="n">
        <v>207</v>
      </c>
      <c r="D26" s="8" t="n">
        <v>222</v>
      </c>
      <c r="E26" s="8" t="n">
        <v>102</v>
      </c>
      <c r="F26" s="8" t="n">
        <v>68</v>
      </c>
      <c r="G26" s="8" t="n">
        <v>42</v>
      </c>
      <c r="H26" s="8" t="n">
        <v>305</v>
      </c>
      <c r="I26" s="8" t="n">
        <v>111</v>
      </c>
      <c r="J26" s="8" t="n">
        <v>113</v>
      </c>
      <c r="K26" s="8" t="n">
        <v>57</v>
      </c>
      <c r="L26" s="8" t="n">
        <v>33</v>
      </c>
      <c r="M26" s="8" t="n">
        <v>24</v>
      </c>
      <c r="N26" s="8" t="n">
        <v>441</v>
      </c>
      <c r="O26" s="8" t="n">
        <v>96</v>
      </c>
      <c r="P26" s="8" t="n">
        <v>109</v>
      </c>
      <c r="Q26" s="8" t="n">
        <v>45</v>
      </c>
      <c r="R26" s="8" t="n">
        <v>35</v>
      </c>
      <c r="S26" s="8" t="n">
        <v>18</v>
      </c>
      <c r="T26" s="12" t="s">
        <v>103</v>
      </c>
    </row>
    <row r="27" customFormat="false" ht="15" hidden="false" customHeight="true" outlineLevel="0" collapsed="false">
      <c r="A27" s="12" t="s">
        <v>104</v>
      </c>
      <c r="B27" s="8" t="n">
        <v>395</v>
      </c>
      <c r="C27" s="8" t="n">
        <v>93</v>
      </c>
      <c r="D27" s="8" t="n">
        <v>89</v>
      </c>
      <c r="E27" s="8" t="n">
        <v>37</v>
      </c>
      <c r="F27" s="8" t="n">
        <v>22</v>
      </c>
      <c r="G27" s="8" t="n">
        <v>14</v>
      </c>
      <c r="H27" s="8" t="n">
        <v>215</v>
      </c>
      <c r="I27" s="8" t="n">
        <v>46</v>
      </c>
      <c r="J27" s="8" t="n">
        <v>59</v>
      </c>
      <c r="K27" s="8" t="n">
        <v>18</v>
      </c>
      <c r="L27" s="8" t="n">
        <v>19</v>
      </c>
      <c r="M27" s="8" t="n">
        <v>11</v>
      </c>
      <c r="N27" s="8" t="n">
        <v>180</v>
      </c>
      <c r="O27" s="8" t="n">
        <v>47</v>
      </c>
      <c r="P27" s="8" t="n">
        <v>30</v>
      </c>
      <c r="Q27" s="8" t="n">
        <v>19</v>
      </c>
      <c r="R27" s="8" t="n">
        <v>3</v>
      </c>
      <c r="S27" s="8" t="n">
        <v>3</v>
      </c>
      <c r="T27" s="12" t="s">
        <v>105</v>
      </c>
    </row>
    <row r="28" customFormat="false" ht="15" hidden="false" customHeight="true" outlineLevel="0" collapsed="false">
      <c r="A28" s="12" t="s">
        <v>106</v>
      </c>
      <c r="B28" s="8" t="n">
        <v>387</v>
      </c>
      <c r="C28" s="8" t="n">
        <v>123</v>
      </c>
      <c r="D28" s="8" t="n">
        <v>102</v>
      </c>
      <c r="E28" s="8" t="n">
        <v>52</v>
      </c>
      <c r="F28" s="8" t="n">
        <v>30</v>
      </c>
      <c r="G28" s="8" t="n">
        <v>25</v>
      </c>
      <c r="H28" s="8" t="n">
        <v>220</v>
      </c>
      <c r="I28" s="8" t="n">
        <v>72</v>
      </c>
      <c r="J28" s="8" t="n">
        <v>59</v>
      </c>
      <c r="K28" s="8" t="n">
        <v>28</v>
      </c>
      <c r="L28" s="8" t="n">
        <v>18</v>
      </c>
      <c r="M28" s="8" t="n">
        <v>13</v>
      </c>
      <c r="N28" s="8" t="n">
        <v>167</v>
      </c>
      <c r="O28" s="8" t="n">
        <v>51</v>
      </c>
      <c r="P28" s="8" t="n">
        <v>43</v>
      </c>
      <c r="Q28" s="8" t="n">
        <v>24</v>
      </c>
      <c r="R28" s="8" t="n">
        <v>12</v>
      </c>
      <c r="S28" s="8" t="n">
        <v>12</v>
      </c>
      <c r="T28" s="12" t="s">
        <v>97</v>
      </c>
    </row>
    <row r="29" customFormat="false" ht="15" hidden="false" customHeight="true" outlineLevel="0" collapsed="false">
      <c r="A29" s="12" t="s">
        <v>107</v>
      </c>
      <c r="B29" s="8" t="n">
        <v>168</v>
      </c>
      <c r="C29" s="8" t="n">
        <v>61</v>
      </c>
      <c r="D29" s="8" t="n">
        <v>82</v>
      </c>
      <c r="E29" s="8" t="n">
        <v>36</v>
      </c>
      <c r="F29" s="8" t="n">
        <v>36</v>
      </c>
      <c r="G29" s="8" t="n">
        <v>21</v>
      </c>
      <c r="H29" s="8" t="n">
        <v>137</v>
      </c>
      <c r="I29" s="8" t="n">
        <v>47</v>
      </c>
      <c r="J29" s="8" t="n">
        <v>75</v>
      </c>
      <c r="K29" s="8" t="n">
        <v>32</v>
      </c>
      <c r="L29" s="8" t="n">
        <v>34</v>
      </c>
      <c r="M29" s="8" t="n">
        <v>19</v>
      </c>
      <c r="N29" s="8" t="n">
        <v>31</v>
      </c>
      <c r="O29" s="8" t="n">
        <v>14</v>
      </c>
      <c r="P29" s="8" t="n">
        <v>7</v>
      </c>
      <c r="Q29" s="8" t="n">
        <v>4</v>
      </c>
      <c r="R29" s="8" t="n">
        <v>2</v>
      </c>
      <c r="S29" s="8" t="n">
        <v>2</v>
      </c>
      <c r="T29" s="12" t="s">
        <v>68</v>
      </c>
    </row>
    <row r="30" customFormat="false" ht="15" hidden="false" customHeight="true" outlineLevel="0" collapsed="false">
      <c r="A30" s="12" t="s">
        <v>108</v>
      </c>
      <c r="B30" s="8" t="n">
        <v>69</v>
      </c>
      <c r="C30" s="8" t="n">
        <v>37</v>
      </c>
      <c r="D30" s="8" t="n">
        <v>13</v>
      </c>
      <c r="E30" s="8" t="n">
        <v>9</v>
      </c>
      <c r="F30" s="8" t="n">
        <v>4</v>
      </c>
      <c r="G30" s="8" t="n">
        <v>4</v>
      </c>
      <c r="H30" s="8" t="n">
        <v>33</v>
      </c>
      <c r="I30" s="8" t="n">
        <v>18</v>
      </c>
      <c r="J30" s="8" t="n">
        <v>11</v>
      </c>
      <c r="K30" s="8" t="n">
        <v>7</v>
      </c>
      <c r="L30" s="8" t="n">
        <v>3</v>
      </c>
      <c r="M30" s="8" t="n">
        <v>3</v>
      </c>
      <c r="N30" s="8" t="n">
        <v>36</v>
      </c>
      <c r="O30" s="8" t="n">
        <v>19</v>
      </c>
      <c r="P30" s="8" t="n">
        <v>2</v>
      </c>
      <c r="Q30" s="8" t="n">
        <v>2</v>
      </c>
      <c r="R30" s="8" t="n">
        <v>1</v>
      </c>
      <c r="S30" s="8" t="n">
        <v>1</v>
      </c>
      <c r="T30" s="12" t="s">
        <v>72</v>
      </c>
    </row>
    <row r="31" customFormat="false" ht="15" hidden="false" customHeight="true" outlineLevel="0" collapsed="false">
      <c r="A31" s="12" t="s">
        <v>109</v>
      </c>
      <c r="B31" s="8" t="n">
        <v>779</v>
      </c>
      <c r="C31" s="8" t="n">
        <v>181</v>
      </c>
      <c r="D31" s="8" t="n">
        <v>192</v>
      </c>
      <c r="E31" s="8" t="n">
        <v>77</v>
      </c>
      <c r="F31" s="8" t="n">
        <v>54</v>
      </c>
      <c r="G31" s="8" t="n">
        <v>32</v>
      </c>
      <c r="H31" s="8" t="n">
        <v>436</v>
      </c>
      <c r="I31" s="8" t="n">
        <v>109</v>
      </c>
      <c r="J31" s="8" t="n">
        <v>109</v>
      </c>
      <c r="K31" s="8" t="n">
        <v>49</v>
      </c>
      <c r="L31" s="8" t="n">
        <v>26</v>
      </c>
      <c r="M31" s="8" t="n">
        <v>19</v>
      </c>
      <c r="N31" s="8" t="n">
        <v>343</v>
      </c>
      <c r="O31" s="8" t="n">
        <v>72</v>
      </c>
      <c r="P31" s="8" t="n">
        <v>83</v>
      </c>
      <c r="Q31" s="8" t="n">
        <v>28</v>
      </c>
      <c r="R31" s="8" t="n">
        <v>28</v>
      </c>
      <c r="S31" s="8" t="n">
        <v>13</v>
      </c>
      <c r="T31" s="12" t="s">
        <v>110</v>
      </c>
    </row>
    <row r="32" customFormat="false" ht="15" hidden="false" customHeight="true" outlineLevel="0" collapsed="false">
      <c r="A32" s="12" t="s">
        <v>111</v>
      </c>
      <c r="B32" s="8" t="n">
        <v>53</v>
      </c>
      <c r="C32" s="8" t="n">
        <v>18</v>
      </c>
      <c r="D32" s="8" t="n">
        <v>26</v>
      </c>
      <c r="E32" s="8" t="n">
        <v>10</v>
      </c>
      <c r="F32" s="8" t="n">
        <v>9</v>
      </c>
      <c r="G32" s="8" t="n">
        <v>4</v>
      </c>
      <c r="H32" s="8" t="n">
        <v>19</v>
      </c>
      <c r="I32" s="8" t="n">
        <v>9</v>
      </c>
      <c r="J32" s="8" t="n">
        <v>9</v>
      </c>
      <c r="K32" s="8" t="n">
        <v>5</v>
      </c>
      <c r="L32" s="8" t="n">
        <v>4</v>
      </c>
      <c r="M32" s="8" t="n">
        <v>2</v>
      </c>
      <c r="N32" s="8" t="n">
        <v>34</v>
      </c>
      <c r="O32" s="8" t="n">
        <v>9</v>
      </c>
      <c r="P32" s="8" t="n">
        <v>17</v>
      </c>
      <c r="Q32" s="8" t="n">
        <v>5</v>
      </c>
      <c r="R32" s="8" t="n">
        <v>5</v>
      </c>
      <c r="S32" s="8" t="n">
        <v>2</v>
      </c>
      <c r="T32" s="12" t="s">
        <v>88</v>
      </c>
    </row>
    <row r="33" customFormat="false" ht="15" hidden="false" customHeight="true" outlineLevel="0" collapsed="false">
      <c r="A33" s="12" t="s">
        <v>112</v>
      </c>
      <c r="B33" s="8" t="n">
        <v>142</v>
      </c>
      <c r="C33" s="8" t="n">
        <v>34</v>
      </c>
      <c r="D33" s="8" t="n">
        <v>36</v>
      </c>
      <c r="E33" s="8" t="n">
        <v>20</v>
      </c>
      <c r="F33" s="8" t="n">
        <v>13</v>
      </c>
      <c r="G33" s="8" t="n">
        <v>9</v>
      </c>
      <c r="H33" s="8" t="n">
        <v>98</v>
      </c>
      <c r="I33" s="8" t="n">
        <v>22</v>
      </c>
      <c r="J33" s="8" t="n">
        <v>25</v>
      </c>
      <c r="K33" s="8" t="n">
        <v>12</v>
      </c>
      <c r="L33" s="8" t="n">
        <v>11</v>
      </c>
      <c r="M33" s="8" t="n">
        <v>7</v>
      </c>
      <c r="N33" s="8" t="n">
        <v>44</v>
      </c>
      <c r="O33" s="8" t="n">
        <v>12</v>
      </c>
      <c r="P33" s="8" t="n">
        <v>11</v>
      </c>
      <c r="Q33" s="8" t="n">
        <v>8</v>
      </c>
      <c r="R33" s="8" t="n">
        <v>2</v>
      </c>
      <c r="S33" s="8" t="n">
        <v>2</v>
      </c>
      <c r="T33" s="12" t="s">
        <v>95</v>
      </c>
    </row>
    <row r="34" customFormat="false" ht="15" hidden="false" customHeight="true" outlineLevel="0" collapsed="false">
      <c r="A34" s="12" t="s">
        <v>113</v>
      </c>
      <c r="B34" s="8" t="n">
        <v>92</v>
      </c>
      <c r="C34" s="8" t="n">
        <v>26</v>
      </c>
      <c r="D34" s="8" t="n">
        <v>19</v>
      </c>
      <c r="E34" s="8" t="n">
        <v>9</v>
      </c>
      <c r="F34" s="8" t="n">
        <v>7</v>
      </c>
      <c r="G34" s="8" t="n">
        <v>4</v>
      </c>
      <c r="H34" s="8" t="n">
        <v>40</v>
      </c>
      <c r="I34" s="8" t="n">
        <v>9</v>
      </c>
      <c r="J34" s="8" t="n">
        <v>14</v>
      </c>
      <c r="K34" s="8" t="n">
        <v>4</v>
      </c>
      <c r="L34" s="8" t="n">
        <v>6</v>
      </c>
      <c r="M34" s="8" t="n">
        <v>3</v>
      </c>
      <c r="N34" s="8" t="n">
        <v>52</v>
      </c>
      <c r="O34" s="8" t="n">
        <v>17</v>
      </c>
      <c r="P34" s="8" t="n">
        <v>5</v>
      </c>
      <c r="Q34" s="8" t="n">
        <v>5</v>
      </c>
      <c r="R34" s="8" t="n">
        <v>1</v>
      </c>
      <c r="S34" s="8" t="n">
        <v>1</v>
      </c>
      <c r="T34" s="12" t="s">
        <v>78</v>
      </c>
    </row>
    <row r="35" customFormat="false" ht="15" hidden="false" customHeight="true" outlineLevel="0" collapsed="false">
      <c r="A35" s="12" t="s">
        <v>114</v>
      </c>
      <c r="B35" s="8" t="n">
        <v>428</v>
      </c>
      <c r="C35" s="8" t="n">
        <v>142</v>
      </c>
      <c r="D35" s="8" t="n">
        <v>62</v>
      </c>
      <c r="E35" s="8" t="n">
        <v>42</v>
      </c>
      <c r="F35" s="8" t="n">
        <v>21</v>
      </c>
      <c r="G35" s="8" t="n">
        <v>17</v>
      </c>
      <c r="H35" s="8" t="n">
        <v>227</v>
      </c>
      <c r="I35" s="8" t="n">
        <v>97</v>
      </c>
      <c r="J35" s="8" t="n">
        <v>39</v>
      </c>
      <c r="K35" s="8" t="n">
        <v>30</v>
      </c>
      <c r="L35" s="8" t="n">
        <v>12</v>
      </c>
      <c r="M35" s="8" t="n">
        <v>11</v>
      </c>
      <c r="N35" s="8" t="n">
        <v>201</v>
      </c>
      <c r="O35" s="8" t="n">
        <v>45</v>
      </c>
      <c r="P35" s="8" t="n">
        <v>23</v>
      </c>
      <c r="Q35" s="8" t="n">
        <v>12</v>
      </c>
      <c r="R35" s="8" t="n">
        <v>9</v>
      </c>
      <c r="S35" s="8" t="n">
        <v>6</v>
      </c>
      <c r="T35" s="12" t="s">
        <v>115</v>
      </c>
    </row>
    <row r="36" customFormat="false" ht="15" hidden="false" customHeight="true" outlineLevel="0" collapsed="false">
      <c r="A36" s="12" t="s">
        <v>116</v>
      </c>
      <c r="B36" s="8" t="n">
        <v>86</v>
      </c>
      <c r="C36" s="8" t="n">
        <v>30</v>
      </c>
      <c r="D36" s="8" t="n">
        <v>10</v>
      </c>
      <c r="E36" s="8" t="n">
        <v>9</v>
      </c>
      <c r="F36" s="8" t="n">
        <v>5</v>
      </c>
      <c r="G36" s="8" t="n">
        <v>5</v>
      </c>
      <c r="H36" s="8" t="n">
        <v>50</v>
      </c>
      <c r="I36" s="8" t="n">
        <v>19</v>
      </c>
      <c r="J36" s="8" t="n">
        <v>8</v>
      </c>
      <c r="K36" s="8" t="n">
        <v>7</v>
      </c>
      <c r="L36" s="8" t="n">
        <v>5</v>
      </c>
      <c r="M36" s="8" t="n">
        <v>5</v>
      </c>
      <c r="N36" s="8" t="n">
        <v>36</v>
      </c>
      <c r="O36" s="8" t="n">
        <v>11</v>
      </c>
      <c r="P36" s="8" t="n">
        <v>2</v>
      </c>
      <c r="Q36" s="8" t="n">
        <v>2</v>
      </c>
      <c r="R36" s="8" t="n">
        <v>0</v>
      </c>
      <c r="S36" s="8" t="n">
        <v>0</v>
      </c>
      <c r="T36" s="12" t="s">
        <v>95</v>
      </c>
    </row>
    <row r="37" customFormat="false" ht="15" hidden="false" customHeight="true" outlineLevel="0" collapsed="false">
      <c r="A37" s="12" t="s">
        <v>117</v>
      </c>
      <c r="B37" s="8" t="n">
        <v>150</v>
      </c>
      <c r="C37" s="8" t="n">
        <v>55</v>
      </c>
      <c r="D37" s="8" t="n">
        <v>32</v>
      </c>
      <c r="E37" s="8" t="n">
        <v>15</v>
      </c>
      <c r="F37" s="8" t="n">
        <v>10</v>
      </c>
      <c r="G37" s="8" t="n">
        <v>7</v>
      </c>
      <c r="H37" s="13" t="n">
        <v>115</v>
      </c>
      <c r="I37" s="8" t="n">
        <v>40</v>
      </c>
      <c r="J37" s="8" t="n">
        <v>28</v>
      </c>
      <c r="K37" s="8" t="n">
        <v>12</v>
      </c>
      <c r="L37" s="8" t="n">
        <v>9</v>
      </c>
      <c r="M37" s="8" t="n">
        <v>6</v>
      </c>
      <c r="N37" s="8" t="n">
        <v>35</v>
      </c>
      <c r="O37" s="8" t="n">
        <v>15</v>
      </c>
      <c r="P37" s="8" t="n">
        <v>4</v>
      </c>
      <c r="Q37" s="8" t="n">
        <v>3</v>
      </c>
      <c r="R37" s="8" t="n">
        <v>1</v>
      </c>
      <c r="S37" s="8" t="n">
        <v>1</v>
      </c>
      <c r="T37" s="12" t="s">
        <v>72</v>
      </c>
    </row>
    <row r="38" customFormat="false" ht="15" hidden="false" customHeight="true" outlineLevel="0" collapsed="false">
      <c r="A38" s="12" t="s">
        <v>118</v>
      </c>
      <c r="B38" s="8" t="n">
        <v>1030</v>
      </c>
      <c r="C38" s="8" t="n">
        <v>404</v>
      </c>
      <c r="D38" s="8" t="n">
        <v>188</v>
      </c>
      <c r="E38" s="8" t="n">
        <v>135</v>
      </c>
      <c r="F38" s="8" t="n">
        <v>78</v>
      </c>
      <c r="G38" s="8" t="n">
        <v>67</v>
      </c>
      <c r="H38" s="8" t="n">
        <v>616</v>
      </c>
      <c r="I38" s="8" t="n">
        <v>255</v>
      </c>
      <c r="J38" s="8" t="n">
        <v>122</v>
      </c>
      <c r="K38" s="8" t="n">
        <v>84</v>
      </c>
      <c r="L38" s="8" t="n">
        <v>53</v>
      </c>
      <c r="M38" s="8" t="n">
        <v>43</v>
      </c>
      <c r="N38" s="8" t="n">
        <v>414</v>
      </c>
      <c r="O38" s="8" t="n">
        <v>149</v>
      </c>
      <c r="P38" s="8" t="n">
        <v>66</v>
      </c>
      <c r="Q38" s="8" t="n">
        <v>51</v>
      </c>
      <c r="R38" s="8" t="n">
        <v>25</v>
      </c>
      <c r="S38" s="8" t="n">
        <v>24</v>
      </c>
      <c r="T38" s="12" t="s">
        <v>119</v>
      </c>
    </row>
    <row r="39" customFormat="false" ht="15" hidden="false" customHeight="true" outlineLevel="0" collapsed="false">
      <c r="A39" s="12" t="s">
        <v>120</v>
      </c>
      <c r="B39" s="8" t="n">
        <v>795</v>
      </c>
      <c r="C39" s="8" t="n">
        <v>178</v>
      </c>
      <c r="D39" s="8" t="n">
        <v>268</v>
      </c>
      <c r="E39" s="8" t="n">
        <v>96</v>
      </c>
      <c r="F39" s="8" t="n">
        <v>106</v>
      </c>
      <c r="G39" s="8" t="n">
        <v>47</v>
      </c>
      <c r="H39" s="8" t="n">
        <v>448</v>
      </c>
      <c r="I39" s="8" t="n">
        <v>104</v>
      </c>
      <c r="J39" s="8" t="n">
        <v>160</v>
      </c>
      <c r="K39" s="8" t="n">
        <v>54</v>
      </c>
      <c r="L39" s="8" t="n">
        <v>65</v>
      </c>
      <c r="M39" s="8" t="n">
        <v>24</v>
      </c>
      <c r="N39" s="8" t="n">
        <v>347</v>
      </c>
      <c r="O39" s="8" t="n">
        <v>74</v>
      </c>
      <c r="P39" s="8" t="n">
        <v>108</v>
      </c>
      <c r="Q39" s="8" t="n">
        <v>42</v>
      </c>
      <c r="R39" s="8" t="n">
        <v>41</v>
      </c>
      <c r="S39" s="8" t="n">
        <v>23</v>
      </c>
      <c r="T39" s="12" t="s">
        <v>121</v>
      </c>
    </row>
    <row r="40" customFormat="false" ht="15" hidden="false" customHeight="true" outlineLevel="0" collapsed="false">
      <c r="A40" s="12" t="s">
        <v>122</v>
      </c>
      <c r="B40" s="8" t="n">
        <v>193</v>
      </c>
      <c r="C40" s="8" t="n">
        <v>83</v>
      </c>
      <c r="D40" s="8" t="n">
        <v>44</v>
      </c>
      <c r="E40" s="8" t="n">
        <v>35</v>
      </c>
      <c r="F40" s="8" t="n">
        <v>17</v>
      </c>
      <c r="G40" s="8" t="n">
        <v>14</v>
      </c>
      <c r="H40" s="8" t="n">
        <v>108</v>
      </c>
      <c r="I40" s="8" t="n">
        <v>46</v>
      </c>
      <c r="J40" s="8" t="n">
        <v>27</v>
      </c>
      <c r="K40" s="8" t="n">
        <v>21</v>
      </c>
      <c r="L40" s="8" t="n">
        <v>12</v>
      </c>
      <c r="M40" s="8" t="n">
        <v>10</v>
      </c>
      <c r="N40" s="8" t="n">
        <v>85</v>
      </c>
      <c r="O40" s="8" t="n">
        <v>37</v>
      </c>
      <c r="P40" s="8" t="n">
        <v>17</v>
      </c>
      <c r="Q40" s="8" t="n">
        <v>14</v>
      </c>
      <c r="R40" s="8" t="n">
        <v>5</v>
      </c>
      <c r="S40" s="8" t="n">
        <v>4</v>
      </c>
      <c r="T40" s="12" t="s">
        <v>95</v>
      </c>
    </row>
    <row r="41" customFormat="false" ht="15" hidden="false" customHeight="true" outlineLevel="0" collapsed="false">
      <c r="A41" s="12" t="s">
        <v>123</v>
      </c>
      <c r="B41" s="8" t="n">
        <v>304</v>
      </c>
      <c r="C41" s="8" t="n">
        <v>92</v>
      </c>
      <c r="D41" s="8" t="n">
        <v>49</v>
      </c>
      <c r="E41" s="8" t="n">
        <v>23</v>
      </c>
      <c r="F41" s="8" t="n">
        <v>15</v>
      </c>
      <c r="G41" s="8" t="n">
        <v>11</v>
      </c>
      <c r="H41" s="8" t="n">
        <v>168</v>
      </c>
      <c r="I41" s="8" t="n">
        <v>42</v>
      </c>
      <c r="J41" s="8" t="n">
        <v>33</v>
      </c>
      <c r="K41" s="8" t="n">
        <v>10</v>
      </c>
      <c r="L41" s="8" t="n">
        <v>11</v>
      </c>
      <c r="M41" s="8" t="n">
        <v>8</v>
      </c>
      <c r="N41" s="8" t="n">
        <v>136</v>
      </c>
      <c r="O41" s="8" t="n">
        <v>50</v>
      </c>
      <c r="P41" s="8" t="n">
        <v>16</v>
      </c>
      <c r="Q41" s="8" t="n">
        <v>13</v>
      </c>
      <c r="R41" s="8" t="n">
        <v>4</v>
      </c>
      <c r="S41" s="8" t="n">
        <v>3</v>
      </c>
      <c r="T41" s="12" t="s">
        <v>66</v>
      </c>
    </row>
    <row r="42" customFormat="false" ht="15" hidden="false" customHeight="true" outlineLevel="0" collapsed="false">
      <c r="A42" s="12" t="s">
        <v>124</v>
      </c>
      <c r="B42" s="8" t="n">
        <v>607</v>
      </c>
      <c r="C42" s="8" t="n">
        <v>196</v>
      </c>
      <c r="D42" s="8" t="n">
        <v>95</v>
      </c>
      <c r="E42" s="8" t="n">
        <v>50</v>
      </c>
      <c r="F42" s="8" t="n">
        <v>25</v>
      </c>
      <c r="G42" s="8" t="n">
        <v>20</v>
      </c>
      <c r="H42" s="8" t="n">
        <v>366</v>
      </c>
      <c r="I42" s="8" t="n">
        <v>126</v>
      </c>
      <c r="J42" s="8" t="n">
        <v>56</v>
      </c>
      <c r="K42" s="8" t="n">
        <v>32</v>
      </c>
      <c r="L42" s="8" t="n">
        <v>18</v>
      </c>
      <c r="M42" s="8" t="n">
        <v>14</v>
      </c>
      <c r="N42" s="8" t="n">
        <v>241</v>
      </c>
      <c r="O42" s="8" t="n">
        <v>70</v>
      </c>
      <c r="P42" s="8" t="n">
        <v>39</v>
      </c>
      <c r="Q42" s="8" t="n">
        <v>18</v>
      </c>
      <c r="R42" s="8" t="n">
        <v>7</v>
      </c>
      <c r="S42" s="8" t="n">
        <v>6</v>
      </c>
      <c r="T42" s="12" t="s">
        <v>115</v>
      </c>
    </row>
    <row r="43" customFormat="false" ht="15" hidden="false" customHeight="true" outlineLevel="0" collapsed="false">
      <c r="A43" s="12" t="s">
        <v>125</v>
      </c>
      <c r="B43" s="8" t="n">
        <v>77</v>
      </c>
      <c r="C43" s="8" t="n">
        <v>19</v>
      </c>
      <c r="D43" s="8" t="n">
        <v>11</v>
      </c>
      <c r="E43" s="8" t="n">
        <v>6</v>
      </c>
      <c r="F43" s="8" t="n">
        <v>4</v>
      </c>
      <c r="G43" s="8" t="n">
        <v>4</v>
      </c>
      <c r="H43" s="8" t="n">
        <v>43</v>
      </c>
      <c r="I43" s="8" t="n">
        <v>12</v>
      </c>
      <c r="J43" s="8" t="n">
        <v>6</v>
      </c>
      <c r="K43" s="8" t="n">
        <v>3</v>
      </c>
      <c r="L43" s="8" t="n">
        <v>1</v>
      </c>
      <c r="M43" s="8" t="n">
        <v>1</v>
      </c>
      <c r="N43" s="8" t="n">
        <v>34</v>
      </c>
      <c r="O43" s="8" t="n">
        <v>7</v>
      </c>
      <c r="P43" s="8" t="n">
        <v>5</v>
      </c>
      <c r="Q43" s="8" t="n">
        <v>3</v>
      </c>
      <c r="R43" s="8" t="n">
        <v>3</v>
      </c>
      <c r="S43" s="8" t="n">
        <v>3</v>
      </c>
      <c r="T43" s="12" t="s">
        <v>78</v>
      </c>
    </row>
    <row r="44" customFormat="false" ht="15" hidden="false" customHeight="true" outlineLevel="0" collapsed="false">
      <c r="A44" s="12" t="s">
        <v>126</v>
      </c>
      <c r="B44" s="8" t="n">
        <v>364</v>
      </c>
      <c r="C44" s="8" t="n">
        <v>97</v>
      </c>
      <c r="D44" s="8" t="n">
        <v>98</v>
      </c>
      <c r="E44" s="8" t="n">
        <v>42</v>
      </c>
      <c r="F44" s="8" t="n">
        <v>24</v>
      </c>
      <c r="G44" s="8" t="n">
        <v>15</v>
      </c>
      <c r="H44" s="8" t="n">
        <v>207</v>
      </c>
      <c r="I44" s="8" t="n">
        <v>68</v>
      </c>
      <c r="J44" s="8" t="n">
        <v>58</v>
      </c>
      <c r="K44" s="8" t="n">
        <v>30</v>
      </c>
      <c r="L44" s="8" t="n">
        <v>17</v>
      </c>
      <c r="M44" s="8" t="n">
        <v>10</v>
      </c>
      <c r="N44" s="8" t="n">
        <v>157</v>
      </c>
      <c r="O44" s="8" t="n">
        <v>29</v>
      </c>
      <c r="P44" s="8" t="n">
        <v>40</v>
      </c>
      <c r="Q44" s="8" t="n">
        <v>12</v>
      </c>
      <c r="R44" s="8" t="n">
        <v>7</v>
      </c>
      <c r="S44" s="8" t="n">
        <v>5</v>
      </c>
      <c r="T44" s="12" t="s">
        <v>127</v>
      </c>
    </row>
    <row r="45" customFormat="false" ht="15" hidden="false" customHeight="true" outlineLevel="0" collapsed="false">
      <c r="A45" s="12" t="s">
        <v>128</v>
      </c>
      <c r="B45" s="8" t="n">
        <v>74</v>
      </c>
      <c r="C45" s="8" t="n">
        <v>19</v>
      </c>
      <c r="D45" s="8" t="n">
        <v>33</v>
      </c>
      <c r="E45" s="8" t="n">
        <v>10</v>
      </c>
      <c r="F45" s="8" t="n">
        <v>16</v>
      </c>
      <c r="G45" s="8" t="n">
        <v>5</v>
      </c>
      <c r="H45" s="8" t="n">
        <v>20</v>
      </c>
      <c r="I45" s="8" t="n">
        <v>9</v>
      </c>
      <c r="J45" s="8" t="n">
        <v>6</v>
      </c>
      <c r="K45" s="8" t="n">
        <v>3</v>
      </c>
      <c r="L45" s="8" t="n">
        <v>3</v>
      </c>
      <c r="M45" s="8" t="n">
        <v>1</v>
      </c>
      <c r="N45" s="8" t="n">
        <v>54</v>
      </c>
      <c r="O45" s="8" t="n">
        <v>10</v>
      </c>
      <c r="P45" s="8" t="n">
        <v>27</v>
      </c>
      <c r="Q45" s="8" t="n">
        <v>7</v>
      </c>
      <c r="R45" s="8" t="n">
        <v>13</v>
      </c>
      <c r="S45" s="8" t="n">
        <v>4</v>
      </c>
      <c r="T45" s="12" t="s">
        <v>88</v>
      </c>
    </row>
    <row r="46" customFormat="false" ht="15" hidden="false" customHeight="true" outlineLevel="0" collapsed="false">
      <c r="A46" s="12" t="s">
        <v>129</v>
      </c>
      <c r="B46" s="8" t="n">
        <v>401</v>
      </c>
      <c r="C46" s="8" t="n">
        <v>124</v>
      </c>
      <c r="D46" s="8" t="n">
        <v>110</v>
      </c>
      <c r="E46" s="8" t="n">
        <v>58</v>
      </c>
      <c r="F46" s="8" t="n">
        <v>36</v>
      </c>
      <c r="G46" s="8" t="n">
        <v>23</v>
      </c>
      <c r="H46" s="8" t="n">
        <v>242</v>
      </c>
      <c r="I46" s="8" t="n">
        <v>80</v>
      </c>
      <c r="J46" s="8" t="n">
        <v>72</v>
      </c>
      <c r="K46" s="8" t="n">
        <v>38</v>
      </c>
      <c r="L46" s="8" t="n">
        <v>26</v>
      </c>
      <c r="M46" s="8" t="n">
        <v>17</v>
      </c>
      <c r="N46" s="8" t="n">
        <v>159</v>
      </c>
      <c r="O46" s="8" t="n">
        <v>44</v>
      </c>
      <c r="P46" s="8" t="n">
        <v>38</v>
      </c>
      <c r="Q46" s="8" t="n">
        <v>20</v>
      </c>
      <c r="R46" s="8" t="n">
        <v>10</v>
      </c>
      <c r="S46" s="8" t="n">
        <v>6</v>
      </c>
      <c r="T46" s="12" t="s">
        <v>130</v>
      </c>
    </row>
    <row r="47" customFormat="false" ht="15" hidden="false" customHeight="true" outlineLevel="0" collapsed="false">
      <c r="A47" s="12" t="s">
        <v>131</v>
      </c>
      <c r="B47" s="8" t="n">
        <v>1660</v>
      </c>
      <c r="C47" s="8" t="n">
        <v>540</v>
      </c>
      <c r="D47" s="8" t="n">
        <v>473</v>
      </c>
      <c r="E47" s="8" t="n">
        <v>230</v>
      </c>
      <c r="F47" s="8" t="n">
        <v>179</v>
      </c>
      <c r="G47" s="8" t="n">
        <v>121</v>
      </c>
      <c r="H47" s="8" t="n">
        <v>1075</v>
      </c>
      <c r="I47" s="8" t="n">
        <v>413</v>
      </c>
      <c r="J47" s="8" t="n">
        <v>342</v>
      </c>
      <c r="K47" s="8" t="n">
        <v>186</v>
      </c>
      <c r="L47" s="8" t="n">
        <v>130</v>
      </c>
      <c r="M47" s="8" t="n">
        <v>97</v>
      </c>
      <c r="N47" s="8" t="n">
        <v>585</v>
      </c>
      <c r="O47" s="8" t="n">
        <v>127</v>
      </c>
      <c r="P47" s="8" t="n">
        <v>131</v>
      </c>
      <c r="Q47" s="8" t="n">
        <v>44</v>
      </c>
      <c r="R47" s="8" t="n">
        <v>49</v>
      </c>
      <c r="S47" s="8" t="n">
        <v>24</v>
      </c>
      <c r="T47" s="12" t="s">
        <v>132</v>
      </c>
    </row>
    <row r="48" customFormat="false" ht="15" hidden="false" customHeight="true" outlineLevel="0" collapsed="false">
      <c r="A48" s="12" t="s">
        <v>133</v>
      </c>
      <c r="B48" s="8" t="n">
        <v>198</v>
      </c>
      <c r="C48" s="8" t="n">
        <v>78</v>
      </c>
      <c r="D48" s="8" t="n">
        <v>74</v>
      </c>
      <c r="E48" s="8" t="n">
        <v>33</v>
      </c>
      <c r="F48" s="8" t="n">
        <v>31</v>
      </c>
      <c r="G48" s="8" t="n">
        <v>19</v>
      </c>
      <c r="H48" s="8" t="n">
        <v>143</v>
      </c>
      <c r="I48" s="8" t="n">
        <v>49</v>
      </c>
      <c r="J48" s="8" t="n">
        <v>61</v>
      </c>
      <c r="K48" s="8" t="n">
        <v>23</v>
      </c>
      <c r="L48" s="8" t="n">
        <v>27</v>
      </c>
      <c r="M48" s="8" t="n">
        <v>15</v>
      </c>
      <c r="N48" s="8" t="n">
        <v>55</v>
      </c>
      <c r="O48" s="8" t="n">
        <v>29</v>
      </c>
      <c r="P48" s="8" t="n">
        <v>13</v>
      </c>
      <c r="Q48" s="8" t="n">
        <v>10</v>
      </c>
      <c r="R48" s="8" t="n">
        <v>4</v>
      </c>
      <c r="S48" s="8" t="n">
        <v>4</v>
      </c>
      <c r="T48" s="12" t="s">
        <v>76</v>
      </c>
    </row>
    <row r="49" customFormat="false" ht="15" hidden="false" customHeight="true" outlineLevel="0" collapsed="false">
      <c r="A49" s="12" t="s">
        <v>134</v>
      </c>
      <c r="B49" s="8" t="n">
        <v>478</v>
      </c>
      <c r="C49" s="8" t="n">
        <v>137</v>
      </c>
      <c r="D49" s="8" t="n">
        <v>105</v>
      </c>
      <c r="E49" s="8" t="n">
        <v>49</v>
      </c>
      <c r="F49" s="8" t="n">
        <v>36</v>
      </c>
      <c r="G49" s="8" t="n">
        <v>23</v>
      </c>
      <c r="H49" s="8" t="n">
        <v>237</v>
      </c>
      <c r="I49" s="8" t="n">
        <v>88</v>
      </c>
      <c r="J49" s="8" t="n">
        <v>76</v>
      </c>
      <c r="K49" s="8" t="n">
        <v>37</v>
      </c>
      <c r="L49" s="8" t="n">
        <v>23</v>
      </c>
      <c r="M49" s="8" t="n">
        <v>15</v>
      </c>
      <c r="N49" s="8" t="n">
        <v>241</v>
      </c>
      <c r="O49" s="8" t="n">
        <v>49</v>
      </c>
      <c r="P49" s="8" t="n">
        <v>29</v>
      </c>
      <c r="Q49" s="8" t="n">
        <v>12</v>
      </c>
      <c r="R49" s="8" t="n">
        <v>13</v>
      </c>
      <c r="S49" s="8" t="n">
        <v>8</v>
      </c>
      <c r="T49" s="12" t="s">
        <v>135</v>
      </c>
    </row>
    <row r="50" customFormat="false" ht="15" hidden="false" customHeight="true" outlineLevel="0" collapsed="false">
      <c r="A50" s="12" t="s">
        <v>136</v>
      </c>
      <c r="B50" s="8" t="n">
        <v>32</v>
      </c>
      <c r="C50" s="8" t="n">
        <v>17</v>
      </c>
      <c r="D50" s="8" t="n">
        <v>6</v>
      </c>
      <c r="E50" s="8" t="n">
        <v>5</v>
      </c>
      <c r="F50" s="8" t="n">
        <v>4</v>
      </c>
      <c r="G50" s="8" t="n">
        <v>3</v>
      </c>
      <c r="H50" s="8" t="n">
        <v>13</v>
      </c>
      <c r="I50" s="8" t="n">
        <v>7</v>
      </c>
      <c r="J50" s="8" t="n">
        <v>1</v>
      </c>
      <c r="K50" s="8" t="n">
        <v>1</v>
      </c>
      <c r="L50" s="8" t="n">
        <v>0</v>
      </c>
      <c r="M50" s="8" t="n">
        <v>0</v>
      </c>
      <c r="N50" s="8" t="n">
        <v>19</v>
      </c>
      <c r="O50" s="8" t="n">
        <v>10</v>
      </c>
      <c r="P50" s="8" t="n">
        <v>5</v>
      </c>
      <c r="Q50" s="8" t="n">
        <v>4</v>
      </c>
      <c r="R50" s="8" t="n">
        <v>4</v>
      </c>
      <c r="S50" s="8" t="n">
        <v>3</v>
      </c>
      <c r="T50" s="12" t="s">
        <v>78</v>
      </c>
    </row>
    <row r="51" customFormat="false" ht="15" hidden="false" customHeight="true" outlineLevel="0" collapsed="false">
      <c r="A51" s="12" t="s">
        <v>137</v>
      </c>
      <c r="B51" s="8" t="n">
        <v>380</v>
      </c>
      <c r="C51" s="8" t="n">
        <v>108</v>
      </c>
      <c r="D51" s="8" t="n">
        <v>70</v>
      </c>
      <c r="E51" s="8" t="n">
        <v>42</v>
      </c>
      <c r="F51" s="8" t="n">
        <v>19</v>
      </c>
      <c r="G51" s="8" t="n">
        <v>16</v>
      </c>
      <c r="H51" s="8" t="n">
        <v>146</v>
      </c>
      <c r="I51" s="8" t="n">
        <v>54</v>
      </c>
      <c r="J51" s="8" t="n">
        <v>32</v>
      </c>
      <c r="K51" s="8" t="n">
        <v>21</v>
      </c>
      <c r="L51" s="8" t="n">
        <v>11</v>
      </c>
      <c r="M51" s="8" t="n">
        <v>9</v>
      </c>
      <c r="N51" s="8" t="n">
        <v>234</v>
      </c>
      <c r="O51" s="8" t="n">
        <v>54</v>
      </c>
      <c r="P51" s="8" t="n">
        <v>38</v>
      </c>
      <c r="Q51" s="8" t="n">
        <v>21</v>
      </c>
      <c r="R51" s="8" t="n">
        <v>8</v>
      </c>
      <c r="S51" s="8" t="n">
        <v>7</v>
      </c>
      <c r="T51" s="12" t="s">
        <v>66</v>
      </c>
    </row>
    <row r="52" customFormat="false" ht="15" hidden="false" customHeight="true" outlineLevel="0" collapsed="false">
      <c r="A52" s="12" t="s">
        <v>138</v>
      </c>
      <c r="B52" s="8" t="n">
        <v>363</v>
      </c>
      <c r="C52" s="8" t="n">
        <v>83</v>
      </c>
      <c r="D52" s="8" t="n">
        <v>107</v>
      </c>
      <c r="E52" s="8" t="n">
        <v>38</v>
      </c>
      <c r="F52" s="8" t="n">
        <v>33</v>
      </c>
      <c r="G52" s="8" t="n">
        <v>23</v>
      </c>
      <c r="H52" s="8" t="n">
        <v>170</v>
      </c>
      <c r="I52" s="8" t="n">
        <v>43</v>
      </c>
      <c r="J52" s="8" t="n">
        <v>67</v>
      </c>
      <c r="K52" s="8" t="n">
        <v>25</v>
      </c>
      <c r="L52" s="8" t="n">
        <v>23</v>
      </c>
      <c r="M52" s="8" t="n">
        <v>14</v>
      </c>
      <c r="N52" s="8" t="n">
        <v>193</v>
      </c>
      <c r="O52" s="8" t="n">
        <v>40</v>
      </c>
      <c r="P52" s="8" t="n">
        <v>40</v>
      </c>
      <c r="Q52" s="8" t="n">
        <v>13</v>
      </c>
      <c r="R52" s="8" t="n">
        <v>10</v>
      </c>
      <c r="S52" s="8" t="n">
        <v>9</v>
      </c>
      <c r="T52" s="12" t="s">
        <v>105</v>
      </c>
    </row>
    <row r="53" customFormat="false" ht="15" hidden="false" customHeight="true" outlineLevel="0" collapsed="false">
      <c r="A53" s="12" t="s">
        <v>139</v>
      </c>
      <c r="B53" s="8" t="n">
        <v>107</v>
      </c>
      <c r="C53" s="8" t="n">
        <v>41</v>
      </c>
      <c r="D53" s="8" t="n">
        <v>33</v>
      </c>
      <c r="E53" s="8" t="n">
        <v>23</v>
      </c>
      <c r="F53" s="8" t="n">
        <v>12</v>
      </c>
      <c r="G53" s="8" t="n">
        <v>11</v>
      </c>
      <c r="H53" s="8" t="n">
        <v>38</v>
      </c>
      <c r="I53" s="8" t="n">
        <v>19</v>
      </c>
      <c r="J53" s="8" t="n">
        <v>19</v>
      </c>
      <c r="K53" s="8" t="n">
        <v>14</v>
      </c>
      <c r="L53" s="8" t="n">
        <v>10</v>
      </c>
      <c r="M53" s="8" t="n">
        <v>9</v>
      </c>
      <c r="N53" s="8" t="n">
        <v>69</v>
      </c>
      <c r="O53" s="8" t="n">
        <v>22</v>
      </c>
      <c r="P53" s="8" t="n">
        <v>14</v>
      </c>
      <c r="Q53" s="8" t="n">
        <v>9</v>
      </c>
      <c r="R53" s="8" t="n">
        <v>2</v>
      </c>
      <c r="S53" s="8" t="n">
        <v>2</v>
      </c>
      <c r="T53" s="12" t="s">
        <v>80</v>
      </c>
    </row>
    <row r="54" customFormat="false" ht="15" hidden="false" customHeight="true" outlineLevel="0" collapsed="false">
      <c r="A54" s="12" t="s">
        <v>140</v>
      </c>
      <c r="B54" s="8" t="n">
        <v>39</v>
      </c>
      <c r="C54" s="8" t="n">
        <v>23</v>
      </c>
      <c r="D54" s="8" t="n">
        <v>7</v>
      </c>
      <c r="E54" s="8" t="n">
        <v>5</v>
      </c>
      <c r="F54" s="8" t="n">
        <v>0</v>
      </c>
      <c r="G54" s="8" t="n">
        <v>0</v>
      </c>
      <c r="H54" s="8" t="n">
        <v>17</v>
      </c>
      <c r="I54" s="8" t="n">
        <v>10</v>
      </c>
      <c r="J54" s="8" t="n">
        <v>5</v>
      </c>
      <c r="K54" s="8" t="n">
        <v>3</v>
      </c>
      <c r="L54" s="8" t="n">
        <v>0</v>
      </c>
      <c r="M54" s="8" t="n">
        <v>0</v>
      </c>
      <c r="N54" s="8" t="n">
        <v>22</v>
      </c>
      <c r="O54" s="8" t="n">
        <v>13</v>
      </c>
      <c r="P54" s="8" t="n">
        <v>2</v>
      </c>
      <c r="Q54" s="8" t="n">
        <v>2</v>
      </c>
      <c r="R54" s="8" t="n">
        <v>0</v>
      </c>
      <c r="S54" s="8" t="n">
        <v>0</v>
      </c>
      <c r="T54" s="12" t="s">
        <v>88</v>
      </c>
    </row>
    <row r="55" customFormat="false" ht="15" hidden="false" customHeight="true" outlineLevel="0" collapsed="false">
      <c r="A55" s="14" t="s">
        <v>54</v>
      </c>
      <c r="B55" s="15" t="n">
        <f aca="false">SUM(B4:B54)</f>
        <v>18405</v>
      </c>
      <c r="C55" s="15" t="n">
        <f aca="false">SUM(C4:C54)</f>
        <v>5862</v>
      </c>
      <c r="D55" s="15" t="n">
        <f aca="false">SUM(D4:D54)</f>
        <v>4401</v>
      </c>
      <c r="E55" s="15" t="n">
        <f aca="false">SUM(E4:E54)</f>
        <v>2188</v>
      </c>
      <c r="F55" s="15" t="n">
        <f aca="false">SUM(F4:F54)</f>
        <v>1476</v>
      </c>
      <c r="G55" s="15" t="n">
        <f aca="false">SUM(G4:G54)</f>
        <v>1005</v>
      </c>
      <c r="H55" s="15" t="n">
        <f aca="false">SUM(H4:H54)</f>
        <v>10775</v>
      </c>
      <c r="I55" s="15" t="n">
        <f aca="false">SUM(I4:I54)</f>
        <v>3647</v>
      </c>
      <c r="J55" s="15" t="n">
        <f aca="false">SUM(J4:J54)</f>
        <v>2883</v>
      </c>
      <c r="K55" s="15" t="n">
        <f aca="false">SUM(K4:K54)</f>
        <v>1419</v>
      </c>
      <c r="L55" s="15" t="n">
        <f aca="false">SUM(L4:L54)</f>
        <v>1002</v>
      </c>
      <c r="M55" s="15" t="n">
        <f aca="false">SUM(M4:M54)</f>
        <v>672</v>
      </c>
      <c r="N55" s="15" t="n">
        <f aca="false">SUM(N4:N54)</f>
        <v>7630</v>
      </c>
      <c r="O55" s="15" t="n">
        <f aca="false">SUM(O4:O54)</f>
        <v>2215</v>
      </c>
      <c r="P55" s="15" t="n">
        <f aca="false">SUM(P4:P54)</f>
        <v>1518</v>
      </c>
      <c r="Q55" s="15" t="n">
        <f aca="false">SUM(Q4:Q54)</f>
        <v>769</v>
      </c>
      <c r="R55" s="15" t="n">
        <f aca="false">SUM(R4:R54)</f>
        <v>474</v>
      </c>
      <c r="S55" s="15" t="n">
        <f aca="false">SUM(S4:S54)</f>
        <v>333</v>
      </c>
    </row>
  </sheetData>
  <mergeCells count="4">
    <mergeCell ref="A1:T1"/>
    <mergeCell ref="B2:G2"/>
    <mergeCell ref="H2:M2"/>
    <mergeCell ref="N2:S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30"/>
    <col collapsed="false" customWidth="true" hidden="false" outlineLevel="0" max="4" min="4" style="0" width="9"/>
    <col collapsed="false" customWidth="true" hidden="false" outlineLevel="0" max="5" min="5" style="0" width="10"/>
    <col collapsed="false" customWidth="true" hidden="false" outlineLevel="0" max="6" min="6" style="0" width="14"/>
    <col collapsed="false" customWidth="true" hidden="false" outlineLevel="0" max="7" min="7" style="0" width="10"/>
    <col collapsed="false" customWidth="true" hidden="false" outlineLevel="0" max="8" min="8" style="0" width="11"/>
    <col collapsed="false" customWidth="true" hidden="false" outlineLevel="0" max="9" min="9" style="0" width="13"/>
    <col collapsed="false" customWidth="true" hidden="false" outlineLevel="0" max="10" min="10" style="0" width="12"/>
    <col collapsed="false" customWidth="true" hidden="false" outlineLevel="0" max="11" min="11" style="0" width="9"/>
    <col collapsed="false" customWidth="true" hidden="false" outlineLevel="0" max="14" min="12" style="0" width="8"/>
    <col collapsed="false" customWidth="true" hidden="false" outlineLevel="0" max="15" min="15" style="0" width="9"/>
  </cols>
  <sheetData>
    <row r="1" customFormat="false" ht="35.05" hidden="false" customHeight="false" outlineLevel="0" collapsed="false">
      <c r="A1" s="16" t="s">
        <v>64</v>
      </c>
      <c r="B1" s="16" t="s">
        <v>141</v>
      </c>
      <c r="C1" s="16" t="s">
        <v>142</v>
      </c>
      <c r="D1" s="16" t="s">
        <v>58</v>
      </c>
      <c r="E1" s="16" t="s">
        <v>59</v>
      </c>
      <c r="F1" s="16" t="s">
        <v>143</v>
      </c>
      <c r="G1" s="16" t="s">
        <v>144</v>
      </c>
      <c r="H1" s="16" t="s">
        <v>145</v>
      </c>
      <c r="I1" s="16" t="s">
        <v>146</v>
      </c>
      <c r="J1" s="16" t="s">
        <v>147</v>
      </c>
      <c r="K1" s="16" t="s">
        <v>148</v>
      </c>
      <c r="L1" s="16" t="s">
        <v>149</v>
      </c>
      <c r="M1" s="16" t="s">
        <v>150</v>
      </c>
      <c r="N1" s="16" t="s">
        <v>151</v>
      </c>
      <c r="O1" s="16" t="s">
        <v>152</v>
      </c>
    </row>
    <row r="2" customFormat="false" ht="15" hidden="false" customHeight="false" outlineLevel="0" collapsed="false">
      <c r="A2" s="17" t="s">
        <v>132</v>
      </c>
      <c r="B2" s="17" t="s">
        <v>131</v>
      </c>
      <c r="C2" s="17" t="s">
        <v>153</v>
      </c>
      <c r="D2" s="18" t="n">
        <f aca="false">SUMIF('State Market Summary'!$T$4:$T$54,$A2,'State Market Summary'!$B$4:$B$54)</f>
        <v>1660</v>
      </c>
      <c r="E2" s="18" t="n">
        <f aca="false">SUMIF('State Market Summary'!$T$4:$T$54,$A2,'State Market Summary'!$C$4:$C$54)</f>
        <v>540</v>
      </c>
      <c r="F2" s="19" t="n">
        <v>3</v>
      </c>
      <c r="G2" s="18" t="n">
        <f aca="false">ROUND(D2/F2,0)</f>
        <v>553</v>
      </c>
      <c r="H2" s="20" t="n">
        <f aca="false">ROUND(E2/F2,1)</f>
        <v>180</v>
      </c>
      <c r="I2" s="21" t="n">
        <v>3090173</v>
      </c>
      <c r="J2" s="22" t="n">
        <v>78473</v>
      </c>
      <c r="K2" s="23" t="n">
        <f aca="false">ROUND((40*D2/MAX($D$2:$D$26)+25*E2/MAX($E$2:$E$26)+10*I2/MAX($I$2:$I$26)+10*J2/MAX($J$2:$J$26))/85*100,1)</f>
        <v>89.1</v>
      </c>
      <c r="L2" s="17" t="n">
        <f aca="false">RANK(K2,$K$2:$K$26)</f>
        <v>2</v>
      </c>
      <c r="M2" s="19" t="n">
        <v>1</v>
      </c>
      <c r="N2" s="17" t="n">
        <f aca="false">M2-L2</f>
        <v>-1</v>
      </c>
      <c r="O2" s="17" t="n">
        <f aca="false">IF(L2&lt;=7,1,IF(L2&lt;=12,2,IF(L2&lt;=19,3,4)))</f>
        <v>1</v>
      </c>
    </row>
    <row r="3" customFormat="false" ht="15" hidden="false" customHeight="false" outlineLevel="0" collapsed="false">
      <c r="A3" s="17" t="s">
        <v>74</v>
      </c>
      <c r="B3" s="17" t="s">
        <v>154</v>
      </c>
      <c r="C3" s="17" t="s">
        <v>155</v>
      </c>
      <c r="D3" s="18" t="n">
        <f aca="false">SUMIF('State Market Summary'!$T$4:$T$54,$A3,'State Market Summary'!$B$4:$B$54)</f>
        <v>1579</v>
      </c>
      <c r="E3" s="18" t="n">
        <f aca="false">SUMIF('State Market Summary'!$T$4:$T$54,$A3,'State Market Summary'!$C$4:$C$54)</f>
        <v>688</v>
      </c>
      <c r="F3" s="19" t="n">
        <v>2</v>
      </c>
      <c r="G3" s="18" t="n">
        <f aca="false">ROUND(D3/F3,0)</f>
        <v>790</v>
      </c>
      <c r="H3" s="20" t="n">
        <f aca="false">ROUND(E3/F3,1)</f>
        <v>344</v>
      </c>
      <c r="I3" s="21" t="n">
        <v>3819366</v>
      </c>
      <c r="J3" s="22" t="n">
        <v>97969</v>
      </c>
      <c r="K3" s="23" t="n">
        <f aca="false">ROUND((40*D3/MAX($D$2:$D$26)+25*E3/MAX($E$2:$E$26)+10*I3/MAX($I$2:$I$26)+10*J3/MAX($J$2:$J$26))/85*100,1)</f>
        <v>97.7</v>
      </c>
      <c r="L3" s="17" t="n">
        <f aca="false">RANK(K3,$K$2:$K$26)</f>
        <v>1</v>
      </c>
      <c r="M3" s="19" t="n">
        <v>2</v>
      </c>
      <c r="N3" s="17" t="n">
        <f aca="false">M3-L3</f>
        <v>1</v>
      </c>
      <c r="O3" s="17" t="n">
        <f aca="false">IF(L3&lt;=7,1,IF(L3&lt;=12,2,IF(L3&lt;=19,3,4)))</f>
        <v>1</v>
      </c>
    </row>
    <row r="4" customFormat="false" ht="15" hidden="false" customHeight="false" outlineLevel="0" collapsed="false">
      <c r="A4" s="17" t="s">
        <v>119</v>
      </c>
      <c r="B4" s="17" t="s">
        <v>118</v>
      </c>
      <c r="C4" s="17" t="s">
        <v>156</v>
      </c>
      <c r="D4" s="18" t="n">
        <f aca="false">SUMIF('State Market Summary'!$T$4:$T$54,$A4,'State Market Summary'!$B$4:$B$54)</f>
        <v>1030</v>
      </c>
      <c r="E4" s="18" t="n">
        <f aca="false">SUMIF('State Market Summary'!$T$4:$T$54,$A4,'State Market Summary'!$C$4:$C$54)</f>
        <v>404</v>
      </c>
      <c r="F4" s="19" t="n">
        <v>1</v>
      </c>
      <c r="G4" s="18" t="n">
        <f aca="false">ROUND(D4/F4,0)</f>
        <v>1030</v>
      </c>
      <c r="H4" s="20" t="n">
        <f aca="false">ROUND(E4/F4,1)</f>
        <v>404</v>
      </c>
      <c r="I4" s="21" t="n">
        <v>1726412</v>
      </c>
      <c r="J4" s="22" t="n">
        <v>89542</v>
      </c>
      <c r="K4" s="23" t="n">
        <f aca="false">ROUND((40*D4/MAX($D$2:$D$26)+25*E4/MAX($E$2:$E$26)+10*I4/MAX($I$2:$I$26)+10*J4/MAX($J$2:$J$26))/85*100,1)</f>
        <v>62.5</v>
      </c>
      <c r="L4" s="17" t="n">
        <f aca="false">RANK(K4,$K$2:$K$26)</f>
        <v>3</v>
      </c>
      <c r="M4" s="19" t="n">
        <v>3</v>
      </c>
      <c r="N4" s="17" t="n">
        <f aca="false">M4-L4</f>
        <v>0</v>
      </c>
      <c r="O4" s="17" t="n">
        <f aca="false">IF(L4&lt;=7,1,IF(L4&lt;=12,2,IF(L4&lt;=19,3,4)))</f>
        <v>1</v>
      </c>
    </row>
    <row r="5" customFormat="false" ht="15" hidden="false" customHeight="false" outlineLevel="0" collapsed="false">
      <c r="A5" s="17" t="s">
        <v>121</v>
      </c>
      <c r="B5" s="17" t="s">
        <v>120</v>
      </c>
      <c r="C5" s="17" t="s">
        <v>157</v>
      </c>
      <c r="D5" s="18" t="n">
        <f aca="false">SUMIF('State Market Summary'!$T$4:$T$54,$A5,'State Market Summary'!$B$4:$B$54)</f>
        <v>795</v>
      </c>
      <c r="E5" s="18" t="n">
        <f aca="false">SUMIF('State Market Summary'!$T$4:$T$54,$A5,'State Market Summary'!$C$4:$C$54)</f>
        <v>178</v>
      </c>
      <c r="F5" s="19" t="n">
        <v>1</v>
      </c>
      <c r="G5" s="18" t="n">
        <f aca="false">ROUND(D5/F5,0)</f>
        <v>795</v>
      </c>
      <c r="H5" s="20" t="n">
        <f aca="false">ROUND(E5/F5,1)</f>
        <v>178</v>
      </c>
      <c r="I5" s="21" t="n">
        <v>1089150</v>
      </c>
      <c r="J5" s="22" t="n">
        <v>71229</v>
      </c>
      <c r="K5" s="23" t="n">
        <f aca="false">ROUND((40*D5/MAX($D$2:$D$26)+25*E5/MAX($E$2:$E$26)+10*I5/MAX($I$2:$I$26)+10*J5/MAX($J$2:$J$26))/85*100,1)</f>
        <v>42.1</v>
      </c>
      <c r="L5" s="17" t="n">
        <f aca="false">RANK(K5,$K$2:$K$26)</f>
        <v>10</v>
      </c>
      <c r="M5" s="19" t="n">
        <v>4</v>
      </c>
      <c r="N5" s="17" t="n">
        <f aca="false">M5-L5</f>
        <v>-6</v>
      </c>
      <c r="O5" s="17" t="n">
        <f aca="false">IF(L5&lt;=7,1,IF(L5&lt;=12,2,IF(L5&lt;=19,3,4)))</f>
        <v>2</v>
      </c>
    </row>
    <row r="6" customFormat="false" ht="15" hidden="false" customHeight="false" outlineLevel="0" collapsed="false">
      <c r="A6" s="17" t="s">
        <v>83</v>
      </c>
      <c r="B6" s="17" t="s">
        <v>82</v>
      </c>
      <c r="C6" s="17" t="s">
        <v>158</v>
      </c>
      <c r="D6" s="18" t="n">
        <f aca="false">SUMIF('State Market Summary'!$T$4:$T$54,$A6,'State Market Summary'!$B$4:$B$54)</f>
        <v>1107</v>
      </c>
      <c r="E6" s="18" t="n">
        <f aca="false">SUMIF('State Market Summary'!$T$4:$T$54,$A6,'State Market Summary'!$C$4:$C$54)</f>
        <v>273</v>
      </c>
      <c r="F6" s="19" t="n">
        <v>1</v>
      </c>
      <c r="G6" s="18" t="n">
        <f aca="false">ROUND(D6/F6,0)</f>
        <v>1107</v>
      </c>
      <c r="H6" s="20" t="n">
        <f aca="false">ROUND(E6/F6,1)</f>
        <v>273</v>
      </c>
      <c r="I6" s="21" t="n">
        <v>1780020</v>
      </c>
      <c r="J6" s="22" t="n">
        <v>71602</v>
      </c>
      <c r="K6" s="23" t="n">
        <f aca="false">ROUND((40*D6/MAX($D$2:$D$26)+25*E6/MAX($E$2:$E$26)+10*I6/MAX($I$2:$I$26)+10*J6/MAX($J$2:$J$26))/85*100,1)</f>
        <v>57.1</v>
      </c>
      <c r="L6" s="17" t="n">
        <f aca="false">RANK(K6,$K$2:$K$26)</f>
        <v>5</v>
      </c>
      <c r="M6" s="19" t="n">
        <v>5</v>
      </c>
      <c r="N6" s="17" t="n">
        <f aca="false">M6-L6</f>
        <v>0</v>
      </c>
      <c r="O6" s="17" t="n">
        <f aca="false">IF(L6&lt;=7,1,IF(L6&lt;=12,2,IF(L6&lt;=19,3,4)))</f>
        <v>1</v>
      </c>
    </row>
    <row r="7" customFormat="false" ht="15" hidden="false" customHeight="false" outlineLevel="0" collapsed="false">
      <c r="A7" s="17" t="s">
        <v>115</v>
      </c>
      <c r="B7" s="17" t="s">
        <v>159</v>
      </c>
      <c r="C7" s="17" t="s">
        <v>160</v>
      </c>
      <c r="D7" s="18" t="n">
        <f aca="false">SUMIF('State Market Summary'!$T$4:$T$54,$A7,'State Market Summary'!$B$4:$B$54)</f>
        <v>1035</v>
      </c>
      <c r="E7" s="18" t="n">
        <f aca="false">SUMIF('State Market Summary'!$T$4:$T$54,$A7,'State Market Summary'!$C$4:$C$54)</f>
        <v>338</v>
      </c>
      <c r="F7" s="19" t="n">
        <v>1</v>
      </c>
      <c r="G7" s="18" t="n">
        <f aca="false">ROUND(D7/F7,0)</f>
        <v>1035</v>
      </c>
      <c r="H7" s="20" t="n">
        <f aca="false">ROUND(E7/F7,1)</f>
        <v>338</v>
      </c>
      <c r="I7" s="21" t="n">
        <v>1985432</v>
      </c>
      <c r="J7" s="22" t="n">
        <v>89604</v>
      </c>
      <c r="K7" s="23" t="n">
        <f aca="false">ROUND((40*D7/MAX($D$2:$D$26)+25*E7/MAX($E$2:$E$26)+10*I7/MAX($I$2:$I$26)+10*J7/MAX($J$2:$J$26))/85*100,1)</f>
        <v>60.7</v>
      </c>
      <c r="L7" s="17" t="n">
        <f aca="false">RANK(K7,$K$2:$K$26)</f>
        <v>4</v>
      </c>
      <c r="M7" s="19" t="n">
        <v>6</v>
      </c>
      <c r="N7" s="17" t="n">
        <f aca="false">M7-L7</f>
        <v>2</v>
      </c>
      <c r="O7" s="17" t="n">
        <f aca="false">IF(L7&lt;=7,1,IF(L7&lt;=12,2,IF(L7&lt;=19,3,4)))</f>
        <v>1</v>
      </c>
    </row>
    <row r="8" customFormat="false" ht="15" hidden="false" customHeight="false" outlineLevel="0" collapsed="false">
      <c r="A8" s="17" t="s">
        <v>103</v>
      </c>
      <c r="B8" s="17" t="s">
        <v>102</v>
      </c>
      <c r="C8" s="17" t="s">
        <v>161</v>
      </c>
      <c r="D8" s="18" t="n">
        <f aca="false">SUMIF('State Market Summary'!$T$4:$T$54,$A8,'State Market Summary'!$B$4:$B$54)</f>
        <v>746</v>
      </c>
      <c r="E8" s="18" t="n">
        <f aca="false">SUMIF('State Market Summary'!$T$4:$T$54,$A8,'State Market Summary'!$C$4:$C$54)</f>
        <v>207</v>
      </c>
      <c r="F8" s="19" t="n">
        <v>1</v>
      </c>
      <c r="G8" s="18" t="n">
        <f aca="false">ROUND(D8/F8,0)</f>
        <v>746</v>
      </c>
      <c r="H8" s="20" t="n">
        <f aca="false">ROUND(E8/F8,1)</f>
        <v>207</v>
      </c>
      <c r="I8" s="21" t="n">
        <v>910821</v>
      </c>
      <c r="J8" s="22" t="n">
        <v>72965</v>
      </c>
      <c r="K8" s="23" t="n">
        <f aca="false">ROUND((40*D8/MAX($D$2:$D$26)+25*E8/MAX($E$2:$E$26)+10*I8/MAX($I$2:$I$26)+10*J8/MAX($J$2:$J$26))/85*100,1)</f>
        <v>41.6</v>
      </c>
      <c r="L8" s="17" t="n">
        <f aca="false">RANK(K8,$K$2:$K$26)</f>
        <v>11</v>
      </c>
      <c r="M8" s="19" t="n">
        <v>7</v>
      </c>
      <c r="N8" s="17" t="n">
        <f aca="false">M8-L8</f>
        <v>-4</v>
      </c>
      <c r="O8" s="17" t="n">
        <f aca="false">IF(L8&lt;=7,1,IF(L8&lt;=12,2,IF(L8&lt;=19,3,4)))</f>
        <v>2</v>
      </c>
    </row>
    <row r="9" customFormat="false" ht="15" hidden="false" customHeight="false" outlineLevel="0" collapsed="false">
      <c r="A9" s="17" t="s">
        <v>78</v>
      </c>
      <c r="B9" s="17" t="s">
        <v>162</v>
      </c>
      <c r="C9" s="17" t="s">
        <v>163</v>
      </c>
      <c r="D9" s="18" t="n">
        <f aca="false">SUMIF('State Market Summary'!$T$4:$T$54,$A9,'State Market Summary'!$B$4:$B$54)</f>
        <v>918</v>
      </c>
      <c r="E9" s="18" t="n">
        <f aca="false">SUMIF('State Market Summary'!$T$4:$T$54,$A9,'State Market Summary'!$C$4:$C$54)</f>
        <v>279</v>
      </c>
      <c r="F9" s="19" t="n">
        <v>1</v>
      </c>
      <c r="G9" s="18" t="n">
        <f aca="false">ROUND(D9/F9,0)</f>
        <v>918</v>
      </c>
      <c r="H9" s="20" t="n">
        <f aca="false">ROUND(E9/F9,1)</f>
        <v>279</v>
      </c>
      <c r="I9" s="21" t="n">
        <v>1294309</v>
      </c>
      <c r="J9" s="22" t="n">
        <v>97019</v>
      </c>
      <c r="K9" s="23" t="n">
        <f aca="false">ROUND((40*D9/MAX($D$2:$D$26)+25*E9/MAX($E$2:$E$26)+10*I9/MAX($I$2:$I$26)+10*J9/MAX($J$2:$J$26))/85*100,1)</f>
        <v>53.6</v>
      </c>
      <c r="L9" s="17" t="n">
        <f aca="false">RANK(K9,$K$2:$K$26)</f>
        <v>6</v>
      </c>
      <c r="M9" s="19" t="n">
        <v>8</v>
      </c>
      <c r="N9" s="17" t="n">
        <f aca="false">M9-L9</f>
        <v>2</v>
      </c>
      <c r="O9" s="17" t="n">
        <f aca="false">IF(L9&lt;=7,1,IF(L9&lt;=12,2,IF(L9&lt;=19,3,4)))</f>
        <v>1</v>
      </c>
    </row>
    <row r="10" customFormat="false" ht="15" hidden="false" customHeight="false" outlineLevel="0" collapsed="false">
      <c r="A10" s="17" t="s">
        <v>105</v>
      </c>
      <c r="B10" s="17" t="s">
        <v>164</v>
      </c>
      <c r="C10" s="17" t="s">
        <v>165</v>
      </c>
      <c r="D10" s="18" t="n">
        <f aca="false">SUMIF('State Market Summary'!$T$4:$T$54,$A10,'State Market Summary'!$B$4:$B$54)</f>
        <v>758</v>
      </c>
      <c r="E10" s="18" t="n">
        <f aca="false">SUMIF('State Market Summary'!$T$4:$T$54,$A10,'State Market Summary'!$C$4:$C$54)</f>
        <v>176</v>
      </c>
      <c r="F10" s="19" t="n">
        <v>1</v>
      </c>
      <c r="G10" s="18" t="n">
        <f aca="false">ROUND(D10/F10,0)</f>
        <v>758</v>
      </c>
      <c r="H10" s="20" t="n">
        <f aca="false">ROUND(E10/F10,1)</f>
        <v>176</v>
      </c>
      <c r="I10" s="21" t="n">
        <v>1084210</v>
      </c>
      <c r="J10" s="22" t="n">
        <v>81797</v>
      </c>
      <c r="K10" s="23" t="n">
        <f aca="false">ROUND((40*D10/MAX($D$2:$D$26)+25*E10/MAX($E$2:$E$26)+10*I10/MAX($I$2:$I$26)+10*J10/MAX($J$2:$J$26))/85*100,1)</f>
        <v>42.2</v>
      </c>
      <c r="L10" s="17" t="n">
        <f aca="false">RANK(K10,$K$2:$K$26)</f>
        <v>9</v>
      </c>
      <c r="M10" s="19" t="n">
        <v>9</v>
      </c>
      <c r="N10" s="17" t="n">
        <f aca="false">M10-L10</f>
        <v>0</v>
      </c>
      <c r="O10" s="17" t="n">
        <f aca="false">IF(L10&lt;=7,1,IF(L10&lt;=12,2,IF(L10&lt;=19,3,4)))</f>
        <v>2</v>
      </c>
    </row>
    <row r="11" customFormat="false" ht="15" hidden="false" customHeight="false" outlineLevel="0" collapsed="false">
      <c r="A11" s="17" t="s">
        <v>97</v>
      </c>
      <c r="B11" s="17" t="s">
        <v>166</v>
      </c>
      <c r="C11" s="17" t="s">
        <v>167</v>
      </c>
      <c r="D11" s="18" t="n">
        <f aca="false">SUMIF('State Market Summary'!$T$4:$T$54,$A11,'State Market Summary'!$B$4:$B$54)</f>
        <v>664</v>
      </c>
      <c r="E11" s="18" t="n">
        <f aca="false">SUMIF('State Market Summary'!$T$4:$T$54,$A11,'State Market Summary'!$C$4:$C$54)</f>
        <v>200</v>
      </c>
      <c r="F11" s="19" t="n">
        <v>1</v>
      </c>
      <c r="G11" s="18" t="n">
        <f aca="false">ROUND(D11/F11,0)</f>
        <v>664</v>
      </c>
      <c r="H11" s="20" t="n">
        <f aca="false">ROUND(E11/F11,1)</f>
        <v>200</v>
      </c>
      <c r="I11" s="21" t="n">
        <v>995376</v>
      </c>
      <c r="J11" s="22" t="n">
        <v>67472</v>
      </c>
      <c r="K11" s="23" t="n">
        <f aca="false">ROUND((40*D11/MAX($D$2:$D$26)+25*E11/MAX($E$2:$E$26)+10*I11/MAX($I$2:$I$26)+10*J11/MAX($J$2:$J$26))/85*100,1)</f>
        <v>38.5</v>
      </c>
      <c r="L11" s="17" t="n">
        <f aca="false">RANK(K11,$K$2:$K$26)</f>
        <v>15</v>
      </c>
      <c r="M11" s="19" t="n">
        <v>10</v>
      </c>
      <c r="N11" s="17" t="n">
        <f aca="false">M11-L11</f>
        <v>-5</v>
      </c>
      <c r="O11" s="17" t="n">
        <f aca="false">IF(L11&lt;=7,1,IF(L11&lt;=12,2,IF(L11&lt;=19,3,4)))</f>
        <v>3</v>
      </c>
    </row>
    <row r="12" customFormat="false" ht="15" hidden="false" customHeight="false" outlineLevel="0" collapsed="false">
      <c r="A12" s="17" t="s">
        <v>85</v>
      </c>
      <c r="B12" s="17" t="s">
        <v>84</v>
      </c>
      <c r="C12" s="17" t="s">
        <v>168</v>
      </c>
      <c r="D12" s="18" t="n">
        <f aca="false">SUMIF('State Market Summary'!$T$4:$T$54,$A12,'State Market Summary'!$B$4:$B$54)</f>
        <v>683</v>
      </c>
      <c r="E12" s="18" t="n">
        <f aca="false">SUMIF('State Market Summary'!$T$4:$T$54,$A12,'State Market Summary'!$C$4:$C$54)</f>
        <v>220</v>
      </c>
      <c r="F12" s="19" t="n">
        <v>1</v>
      </c>
      <c r="G12" s="18" t="n">
        <f aca="false">ROUND(D12/F12,0)</f>
        <v>683</v>
      </c>
      <c r="H12" s="20" t="n">
        <f aca="false">ROUND(E12/F12,1)</f>
        <v>220</v>
      </c>
      <c r="I12" s="21" t="n">
        <v>1070611</v>
      </c>
      <c r="J12" s="22" t="n">
        <v>75694</v>
      </c>
      <c r="K12" s="23" t="n">
        <f aca="false">ROUND((40*D12/MAX($D$2:$D$26)+25*E12/MAX($E$2:$E$26)+10*I12/MAX($I$2:$I$26)+10*J12/MAX($J$2:$J$26))/85*100,1)</f>
        <v>41.2</v>
      </c>
      <c r="L12" s="17" t="n">
        <f aca="false">RANK(K12,$K$2:$K$26)</f>
        <v>13</v>
      </c>
      <c r="M12" s="19" t="n">
        <v>11</v>
      </c>
      <c r="N12" s="17" t="n">
        <f aca="false">M12-L12</f>
        <v>-2</v>
      </c>
      <c r="O12" s="17" t="n">
        <f aca="false">IF(L12&lt;=7,1,IF(L12&lt;=12,2,IF(L12&lt;=19,3,4)))</f>
        <v>3</v>
      </c>
    </row>
    <row r="13" customFormat="false" ht="15" hidden="false" customHeight="false" outlineLevel="0" collapsed="false">
      <c r="A13" s="17" t="s">
        <v>66</v>
      </c>
      <c r="B13" s="17" t="s">
        <v>169</v>
      </c>
      <c r="C13" s="17" t="s">
        <v>170</v>
      </c>
      <c r="D13" s="18" t="n">
        <f aca="false">SUMIF('State Market Summary'!$T$4:$T$54,$A13,'State Market Summary'!$B$4:$B$54)</f>
        <v>734</v>
      </c>
      <c r="E13" s="18" t="n">
        <f aca="false">SUMIF('State Market Summary'!$T$4:$T$54,$A13,'State Market Summary'!$C$4:$C$54)</f>
        <v>225</v>
      </c>
      <c r="F13" s="19" t="n">
        <v>1</v>
      </c>
      <c r="G13" s="18" t="n">
        <f aca="false">ROUND(D13/F13,0)</f>
        <v>734</v>
      </c>
      <c r="H13" s="20" t="n">
        <f aca="false">ROUND(E13/F13,1)</f>
        <v>225</v>
      </c>
      <c r="I13" s="21" t="n">
        <v>1119028</v>
      </c>
      <c r="J13" s="22" t="n">
        <v>90198</v>
      </c>
      <c r="K13" s="23" t="n">
        <f aca="false">ROUND((40*D13/MAX($D$2:$D$26)+25*E13/MAX($E$2:$E$26)+10*I13/MAX($I$2:$I$26)+10*J13/MAX($J$2:$J$26))/85*100,1)</f>
        <v>44.7</v>
      </c>
      <c r="L13" s="17" t="n">
        <f aca="false">RANK(K13,$K$2:$K$26)</f>
        <v>7</v>
      </c>
      <c r="M13" s="19" t="n">
        <v>12</v>
      </c>
      <c r="N13" s="17" t="n">
        <f aca="false">M13-L13</f>
        <v>5</v>
      </c>
      <c r="O13" s="17" t="n">
        <f aca="false">IF(L13&lt;=7,1,IF(L13&lt;=12,2,IF(L13&lt;=19,3,4)))</f>
        <v>1</v>
      </c>
    </row>
    <row r="14" customFormat="false" ht="15" hidden="false" customHeight="false" outlineLevel="0" collapsed="false">
      <c r="A14" s="17" t="s">
        <v>110</v>
      </c>
      <c r="B14" s="17" t="s">
        <v>109</v>
      </c>
      <c r="C14" s="17" t="s">
        <v>171</v>
      </c>
      <c r="D14" s="18" t="n">
        <f aca="false">SUMIF('State Market Summary'!$T$4:$T$54,$A14,'State Market Summary'!$B$4:$B$54)</f>
        <v>779</v>
      </c>
      <c r="E14" s="18" t="n">
        <f aca="false">SUMIF('State Market Summary'!$T$4:$T$54,$A14,'State Market Summary'!$C$4:$C$54)</f>
        <v>181</v>
      </c>
      <c r="F14" s="19" t="n">
        <v>1</v>
      </c>
      <c r="G14" s="18" t="n">
        <f aca="false">ROUND(D14/F14,0)</f>
        <v>779</v>
      </c>
      <c r="H14" s="20" t="n">
        <f aca="false">ROUND(E14/F14,1)</f>
        <v>181</v>
      </c>
      <c r="I14" s="21" t="n">
        <v>975468</v>
      </c>
      <c r="J14" s="22" t="n">
        <v>70436</v>
      </c>
      <c r="K14" s="23" t="n">
        <f aca="false">ROUND((40*D14/MAX($D$2:$D$26)+25*E14/MAX($E$2:$E$26)+10*I14/MAX($I$2:$I$26)+10*J14/MAX($J$2:$J$26))/85*100,1)</f>
        <v>41.3</v>
      </c>
      <c r="L14" s="17" t="n">
        <f aca="false">RANK(K14,$K$2:$K$26)</f>
        <v>12</v>
      </c>
      <c r="M14" s="19" t="n">
        <v>13</v>
      </c>
      <c r="N14" s="17" t="n">
        <f aca="false">M14-L14</f>
        <v>1</v>
      </c>
      <c r="O14" s="17" t="n">
        <f aca="false">IF(L14&lt;=7,1,IF(L14&lt;=12,2,IF(L14&lt;=19,3,4)))</f>
        <v>2</v>
      </c>
    </row>
    <row r="15" customFormat="false" ht="15" hidden="false" customHeight="false" outlineLevel="0" collapsed="false">
      <c r="A15" s="17" t="s">
        <v>95</v>
      </c>
      <c r="B15" s="17" t="s">
        <v>172</v>
      </c>
      <c r="C15" s="17" t="s">
        <v>173</v>
      </c>
      <c r="D15" s="18" t="n">
        <f aca="false">SUMIF('State Market Summary'!$T$4:$T$54,$A15,'State Market Summary'!$B$4:$B$54)</f>
        <v>597</v>
      </c>
      <c r="E15" s="18" t="n">
        <f aca="false">SUMIF('State Market Summary'!$T$4:$T$54,$A15,'State Market Summary'!$C$4:$C$54)</f>
        <v>198</v>
      </c>
      <c r="F15" s="19" t="n">
        <v>1</v>
      </c>
      <c r="G15" s="18" t="n">
        <f aca="false">ROUND(D15/F15,0)</f>
        <v>597</v>
      </c>
      <c r="H15" s="20" t="n">
        <f aca="false">ROUND(E15/F15,1)</f>
        <v>198</v>
      </c>
      <c r="I15" s="21" t="n">
        <v>1097099</v>
      </c>
      <c r="J15" s="22" t="n">
        <v>68598</v>
      </c>
      <c r="K15" s="23" t="n">
        <f aca="false">ROUND((40*D15/MAX($D$2:$D$26)+25*E15/MAX($E$2:$E$26)+10*I15/MAX($I$2:$I$26)+10*J15/MAX($J$2:$J$26))/85*100,1)</f>
        <v>37</v>
      </c>
      <c r="L15" s="17" t="n">
        <f aca="false">RANK(K15,$K$2:$K$26)</f>
        <v>17</v>
      </c>
      <c r="M15" s="19" t="n">
        <v>14</v>
      </c>
      <c r="N15" s="17" t="n">
        <f aca="false">M15-L15</f>
        <v>-3</v>
      </c>
      <c r="O15" s="17" t="n">
        <f aca="false">IF(L15&lt;=7,1,IF(L15&lt;=12,2,IF(L15&lt;=19,3,4)))</f>
        <v>3</v>
      </c>
    </row>
    <row r="16" customFormat="false" ht="15" hidden="false" customHeight="false" outlineLevel="0" collapsed="false">
      <c r="A16" s="17" t="s">
        <v>72</v>
      </c>
      <c r="B16" s="17" t="s">
        <v>174</v>
      </c>
      <c r="C16" s="17" t="s">
        <v>175</v>
      </c>
      <c r="D16" s="18" t="n">
        <f aca="false">SUMIF('State Market Summary'!$T$4:$T$54,$A16,'State Market Summary'!$B$4:$B$54)</f>
        <v>594</v>
      </c>
      <c r="E16" s="18" t="n">
        <f aca="false">SUMIF('State Market Summary'!$T$4:$T$54,$A16,'State Market Summary'!$C$4:$C$54)</f>
        <v>231</v>
      </c>
      <c r="F16" s="19" t="n">
        <v>1</v>
      </c>
      <c r="G16" s="18" t="n">
        <f aca="false">ROUND(D16/F16,0)</f>
        <v>594</v>
      </c>
      <c r="H16" s="20" t="n">
        <f aca="false">ROUND(E16/F16,1)</f>
        <v>231</v>
      </c>
      <c r="I16" s="21" t="n">
        <v>1257732</v>
      </c>
      <c r="J16" s="22" t="n">
        <v>75026</v>
      </c>
      <c r="K16" s="23" t="n">
        <f aca="false">ROUND((40*D16/MAX($D$2:$D$26)+25*E16/MAX($E$2:$E$26)+10*I16/MAX($I$2:$I$26)+10*J16/MAX($J$2:$J$26))/85*100,1)</f>
        <v>39.6</v>
      </c>
      <c r="L16" s="17" t="n">
        <f aca="false">RANK(K16,$K$2:$K$26)</f>
        <v>14</v>
      </c>
      <c r="M16" s="19" t="n">
        <v>15</v>
      </c>
      <c r="N16" s="17" t="n">
        <f aca="false">M16-L16</f>
        <v>1</v>
      </c>
      <c r="O16" s="17" t="n">
        <f aca="false">IF(L16&lt;=7,1,IF(L16&lt;=12,2,IF(L16&lt;=19,3,4)))</f>
        <v>3</v>
      </c>
    </row>
    <row r="17" customFormat="false" ht="15" hidden="false" customHeight="false" outlineLevel="0" collapsed="false">
      <c r="A17" s="17" t="s">
        <v>76</v>
      </c>
      <c r="B17" s="17" t="s">
        <v>176</v>
      </c>
      <c r="C17" s="17" t="s">
        <v>177</v>
      </c>
      <c r="D17" s="18" t="n">
        <f aca="false">SUMIF('State Market Summary'!$T$4:$T$54,$A17,'State Market Summary'!$B$4:$B$54)</f>
        <v>550</v>
      </c>
      <c r="E17" s="18" t="n">
        <f aca="false">SUMIF('State Market Summary'!$T$4:$T$54,$A17,'State Market Summary'!$C$4:$C$54)</f>
        <v>185</v>
      </c>
      <c r="F17" s="19" t="n">
        <v>1</v>
      </c>
      <c r="G17" s="18" t="n">
        <f aca="false">ROUND(D17/F17,0)</f>
        <v>550</v>
      </c>
      <c r="H17" s="20" t="n">
        <f aca="false">ROUND(E17/F17,1)</f>
        <v>185</v>
      </c>
      <c r="I17" s="21" t="n">
        <v>915366</v>
      </c>
      <c r="J17" s="22" t="n">
        <v>91862</v>
      </c>
      <c r="K17" s="23" t="n">
        <f aca="false">ROUND((40*D17/MAX($D$2:$D$26)+25*E17/MAX($E$2:$E$26)+10*I17/MAX($I$2:$I$26)+10*J17/MAX($J$2:$J$26))/85*100,1)</f>
        <v>37.4</v>
      </c>
      <c r="L17" s="17" t="n">
        <f aca="false">RANK(K17,$K$2:$K$26)</f>
        <v>16</v>
      </c>
      <c r="M17" s="19" t="n">
        <v>16</v>
      </c>
      <c r="N17" s="17" t="n">
        <f aca="false">M17-L17</f>
        <v>0</v>
      </c>
      <c r="O17" s="17" t="n">
        <f aca="false">IF(L17&lt;=7,1,IF(L17&lt;=12,2,IF(L17&lt;=19,3,4)))</f>
        <v>3</v>
      </c>
    </row>
    <row r="18" customFormat="false" ht="15" hidden="false" customHeight="false" outlineLevel="0" collapsed="false">
      <c r="A18" s="17" t="s">
        <v>91</v>
      </c>
      <c r="B18" s="17" t="s">
        <v>90</v>
      </c>
      <c r="C18" s="17" t="s">
        <v>178</v>
      </c>
      <c r="D18" s="18" t="n">
        <f aca="false">SUMIF('State Market Summary'!$T$4:$T$54,$A18,'State Market Summary'!$B$4:$B$54)</f>
        <v>718</v>
      </c>
      <c r="E18" s="18" t="n">
        <f aca="false">SUMIF('State Market Summary'!$T$4:$T$54,$A18,'State Market Summary'!$C$4:$C$54)</f>
        <v>241</v>
      </c>
      <c r="F18" s="19" t="n">
        <v>1</v>
      </c>
      <c r="G18" s="18" t="n">
        <f aca="false">ROUND(D18/F18,0)</f>
        <v>718</v>
      </c>
      <c r="H18" s="20" t="n">
        <f aca="false">ROUND(E18/F18,1)</f>
        <v>241</v>
      </c>
      <c r="I18" s="21" t="n">
        <v>1191812</v>
      </c>
      <c r="J18" s="22" t="n">
        <v>84033</v>
      </c>
      <c r="K18" s="23" t="n">
        <f aca="false">ROUND((40*D18/MAX($D$2:$D$26)+25*E18/MAX($E$2:$E$26)+10*I18/MAX($I$2:$I$26)+10*J18/MAX($J$2:$J$26))/85*100,1)</f>
        <v>44.4</v>
      </c>
      <c r="L18" s="17" t="n">
        <f aca="false">RANK(K18,$K$2:$K$26)</f>
        <v>8</v>
      </c>
      <c r="M18" s="19" t="n">
        <v>17</v>
      </c>
      <c r="N18" s="17" t="n">
        <f aca="false">M18-L18</f>
        <v>9</v>
      </c>
      <c r="O18" s="17" t="n">
        <f aca="false">IF(L18&lt;=7,1,IF(L18&lt;=12,2,IF(L18&lt;=19,3,4)))</f>
        <v>2</v>
      </c>
    </row>
    <row r="19" customFormat="false" ht="15" hidden="false" customHeight="false" outlineLevel="0" collapsed="false">
      <c r="A19" s="17" t="s">
        <v>68</v>
      </c>
      <c r="B19" s="17" t="s">
        <v>179</v>
      </c>
      <c r="C19" s="17" t="s">
        <v>180</v>
      </c>
      <c r="D19" s="18" t="n">
        <f aca="false">SUMIF('State Market Summary'!$T$4:$T$54,$A19,'State Market Summary'!$B$4:$B$54)</f>
        <v>462</v>
      </c>
      <c r="E19" s="18" t="n">
        <f aca="false">SUMIF('State Market Summary'!$T$4:$T$54,$A19,'State Market Summary'!$C$4:$C$54)</f>
        <v>174</v>
      </c>
      <c r="F19" s="19" t="n">
        <v>1</v>
      </c>
      <c r="G19" s="18" t="n">
        <f aca="false">ROUND(D19/F19,0)</f>
        <v>462</v>
      </c>
      <c r="H19" s="20" t="n">
        <f aca="false">ROUND(E19/F19,1)</f>
        <v>174</v>
      </c>
      <c r="I19" s="21" t="n">
        <v>772926</v>
      </c>
      <c r="J19" s="22" t="n">
        <v>60048</v>
      </c>
      <c r="K19" s="23" t="n">
        <f aca="false">ROUND((40*D19/MAX($D$2:$D$26)+25*E19/MAX($E$2:$E$26)+10*I19/MAX($I$2:$I$26)+10*J19/MAX($J$2:$J$26))/85*100,1)</f>
        <v>30.1</v>
      </c>
      <c r="L19" s="17" t="n">
        <f aca="false">RANK(K19,$K$2:$K$26)</f>
        <v>21</v>
      </c>
      <c r="M19" s="19" t="n">
        <v>18</v>
      </c>
      <c r="N19" s="17" t="n">
        <f aca="false">M19-L19</f>
        <v>-3</v>
      </c>
      <c r="O19" s="17" t="n">
        <f aca="false">IF(L19&lt;=7,1,IF(L19&lt;=12,2,IF(L19&lt;=19,3,4)))</f>
        <v>4</v>
      </c>
    </row>
    <row r="20" customFormat="false" ht="15" hidden="false" customHeight="false" outlineLevel="0" collapsed="false">
      <c r="A20" s="17" t="s">
        <v>70</v>
      </c>
      <c r="B20" s="17" t="s">
        <v>181</v>
      </c>
      <c r="C20" s="17" t="s">
        <v>182</v>
      </c>
      <c r="D20" s="18" t="n">
        <f aca="false">SUMIF('State Market Summary'!$T$4:$T$54,$A20,'State Market Summary'!$B$4:$B$54)</f>
        <v>477</v>
      </c>
      <c r="E20" s="18" t="n">
        <f aca="false">SUMIF('State Market Summary'!$T$4:$T$54,$A20,'State Market Summary'!$C$4:$C$54)</f>
        <v>176</v>
      </c>
      <c r="F20" s="19" t="n">
        <v>1</v>
      </c>
      <c r="G20" s="18" t="n">
        <f aca="false">ROUND(D20/F20,0)</f>
        <v>477</v>
      </c>
      <c r="H20" s="20" t="n">
        <f aca="false">ROUND(E20/F20,1)</f>
        <v>176</v>
      </c>
      <c r="I20" s="21" t="n">
        <v>739152</v>
      </c>
      <c r="J20" s="22" t="n">
        <v>59699</v>
      </c>
      <c r="K20" s="23" t="n">
        <f aca="false">ROUND((40*D20/MAX($D$2:$D$26)+25*E20/MAX($E$2:$E$26)+10*I20/MAX($I$2:$I$26)+10*J20/MAX($J$2:$J$26))/85*100,1)</f>
        <v>30.5</v>
      </c>
      <c r="L20" s="17" t="n">
        <f aca="false">RANK(K20,$K$2:$K$26)</f>
        <v>20</v>
      </c>
      <c r="M20" s="19" t="n">
        <v>19</v>
      </c>
      <c r="N20" s="17" t="n">
        <f aca="false">M20-L20</f>
        <v>-1</v>
      </c>
      <c r="O20" s="17" t="n">
        <f aca="false">IF(L20&lt;=7,1,IF(L20&lt;=12,2,IF(L20&lt;=19,3,4)))</f>
        <v>4</v>
      </c>
    </row>
    <row r="21" customFormat="false" ht="15" hidden="false" customHeight="false" outlineLevel="0" collapsed="false">
      <c r="A21" s="17" t="s">
        <v>93</v>
      </c>
      <c r="B21" s="17" t="s">
        <v>92</v>
      </c>
      <c r="C21" s="17" t="s">
        <v>183</v>
      </c>
      <c r="D21" s="18" t="n">
        <f aca="false">SUMIF('State Market Summary'!$T$4:$T$54,$A21,'State Market Summary'!$B$4:$B$54)</f>
        <v>442</v>
      </c>
      <c r="E21" s="18" t="n">
        <f aca="false">SUMIF('State Market Summary'!$T$4:$T$54,$A21,'State Market Summary'!$C$4:$C$54)</f>
        <v>111</v>
      </c>
      <c r="F21" s="19" t="n">
        <v>1</v>
      </c>
      <c r="G21" s="18" t="n">
        <f aca="false">ROUND(D21/F21,0)</f>
        <v>442</v>
      </c>
      <c r="H21" s="20" t="n">
        <f aca="false">ROUND(E21/F21,1)</f>
        <v>111</v>
      </c>
      <c r="I21" s="21" t="n">
        <v>663850</v>
      </c>
      <c r="J21" s="22" t="n">
        <v>70489</v>
      </c>
      <c r="K21" s="23" t="n">
        <f aca="false">ROUND((40*D21/MAX($D$2:$D$26)+25*E21/MAX($E$2:$E$26)+10*I21/MAX($I$2:$I$26)+10*J21/MAX($J$2:$J$26))/85*100,1)</f>
        <v>27.8</v>
      </c>
      <c r="L21" s="17" t="n">
        <f aca="false">RANK(K21,$K$2:$K$26)</f>
        <v>22</v>
      </c>
      <c r="M21" s="19" t="n">
        <v>20</v>
      </c>
      <c r="N21" s="17" t="n">
        <f aca="false">M21-L21</f>
        <v>-2</v>
      </c>
      <c r="O21" s="17" t="n">
        <f aca="false">IF(L21&lt;=7,1,IF(L21&lt;=12,2,IF(L21&lt;=19,3,4)))</f>
        <v>4</v>
      </c>
    </row>
    <row r="22" customFormat="false" ht="15" hidden="false" customHeight="false" outlineLevel="0" collapsed="false">
      <c r="A22" s="17" t="s">
        <v>135</v>
      </c>
      <c r="B22" s="17" t="s">
        <v>134</v>
      </c>
      <c r="C22" s="17" t="s">
        <v>184</v>
      </c>
      <c r="D22" s="18" t="n">
        <f aca="false">SUMIF('State Market Summary'!$T$4:$T$54,$A22,'State Market Summary'!$B$4:$B$54)</f>
        <v>478</v>
      </c>
      <c r="E22" s="18" t="n">
        <f aca="false">SUMIF('State Market Summary'!$T$4:$T$54,$A22,'State Market Summary'!$C$4:$C$54)</f>
        <v>137</v>
      </c>
      <c r="F22" s="19" t="n">
        <v>1</v>
      </c>
      <c r="G22" s="18" t="n">
        <f aca="false">ROUND(D22/F22,0)</f>
        <v>478</v>
      </c>
      <c r="H22" s="20" t="n">
        <f aca="false">ROUND(E22/F22,1)</f>
        <v>137</v>
      </c>
      <c r="I22" s="21" t="n">
        <v>794462</v>
      </c>
      <c r="J22" s="22" t="n">
        <v>97828</v>
      </c>
      <c r="K22" s="23" t="n">
        <f aca="false">ROUND((40*D22/MAX($D$2:$D$26)+25*E22/MAX($E$2:$E$26)+10*I22/MAX($I$2:$I$26)+10*J22/MAX($J$2:$J$26))/85*100,1)</f>
        <v>33.6</v>
      </c>
      <c r="L22" s="17" t="n">
        <f aca="false">RANK(K22,$K$2:$K$26)</f>
        <v>19</v>
      </c>
      <c r="M22" s="19" t="n">
        <v>21</v>
      </c>
      <c r="N22" s="17" t="n">
        <f aca="false">M22-L22</f>
        <v>2</v>
      </c>
      <c r="O22" s="17" t="n">
        <f aca="false">IF(L22&lt;=7,1,IF(L22&lt;=12,2,IF(L22&lt;=19,3,4)))</f>
        <v>3</v>
      </c>
    </row>
    <row r="23" customFormat="false" ht="15" hidden="false" customHeight="false" outlineLevel="0" collapsed="false">
      <c r="A23" s="17" t="s">
        <v>80</v>
      </c>
      <c r="B23" s="17" t="s">
        <v>185</v>
      </c>
      <c r="C23" s="17" t="s">
        <v>186</v>
      </c>
      <c r="D23" s="18" t="n">
        <f aca="false">SUMIF('State Market Summary'!$T$4:$T$54,$A23,'State Market Summary'!$B$4:$B$54)</f>
        <v>489</v>
      </c>
      <c r="E23" s="18" t="n">
        <f aca="false">SUMIF('State Market Summary'!$T$4:$T$54,$A23,'State Market Summary'!$C$4:$C$54)</f>
        <v>168</v>
      </c>
      <c r="F23" s="19" t="n">
        <v>1</v>
      </c>
      <c r="G23" s="18" t="n">
        <f aca="false">ROUND(D23/F23,0)</f>
        <v>489</v>
      </c>
      <c r="H23" s="20" t="n">
        <f aca="false">ROUND(E23/F23,1)</f>
        <v>168</v>
      </c>
      <c r="I23" s="21" t="n">
        <v>860620</v>
      </c>
      <c r="J23" s="22" t="n">
        <v>94114</v>
      </c>
      <c r="K23" s="23" t="n">
        <f aca="false">ROUND((40*D23/MAX($D$2:$D$26)+25*E23/MAX($E$2:$E$26)+10*I23/MAX($I$2:$I$26)+10*J23/MAX($J$2:$J$26))/85*100,1)</f>
        <v>35</v>
      </c>
      <c r="L23" s="17" t="n">
        <f aca="false">RANK(K23,$K$2:$K$26)</f>
        <v>18</v>
      </c>
      <c r="M23" s="19" t="n">
        <v>22</v>
      </c>
      <c r="N23" s="17" t="n">
        <f aca="false">M23-L23</f>
        <v>4</v>
      </c>
      <c r="O23" s="17" t="n">
        <f aca="false">IF(L23&lt;=7,1,IF(L23&lt;=12,2,IF(L23&lt;=19,3,4)))</f>
        <v>3</v>
      </c>
    </row>
    <row r="24" customFormat="false" ht="15" hidden="false" customHeight="false" outlineLevel="0" collapsed="false">
      <c r="A24" s="17" t="s">
        <v>130</v>
      </c>
      <c r="B24" s="17" t="s">
        <v>129</v>
      </c>
      <c r="C24" s="17" t="s">
        <v>187</v>
      </c>
      <c r="D24" s="18" t="n">
        <f aca="false">SUMIF('State Market Summary'!$T$4:$T$54,$A24,'State Market Summary'!$B$4:$B$54)</f>
        <v>401</v>
      </c>
      <c r="E24" s="18" t="n">
        <f aca="false">SUMIF('State Market Summary'!$T$4:$T$54,$A24,'State Market Summary'!$C$4:$C$54)</f>
        <v>124</v>
      </c>
      <c r="F24" s="19" t="n">
        <v>1</v>
      </c>
      <c r="G24" s="18" t="n">
        <f aca="false">ROUND(D24/F24,0)</f>
        <v>401</v>
      </c>
      <c r="H24" s="20" t="n">
        <f aca="false">ROUND(E24/F24,1)</f>
        <v>124</v>
      </c>
      <c r="I24" s="21" t="n">
        <v>634143</v>
      </c>
      <c r="J24" s="22" t="n">
        <v>67976</v>
      </c>
      <c r="K24" s="23" t="n">
        <f aca="false">ROUND((40*D24/MAX($D$2:$D$26)+25*E24/MAX($E$2:$E$26)+10*I24/MAX($I$2:$I$26)+10*J24/MAX($J$2:$J$26))/85*100,1)</f>
        <v>26.8</v>
      </c>
      <c r="L24" s="17" t="n">
        <f aca="false">RANK(K24,$K$2:$K$26)</f>
        <v>23</v>
      </c>
      <c r="M24" s="19" t="n">
        <v>23</v>
      </c>
      <c r="N24" s="17" t="n">
        <f aca="false">M24-L24</f>
        <v>0</v>
      </c>
      <c r="O24" s="17" t="n">
        <f aca="false">IF(L24&lt;=7,1,IF(L24&lt;=12,2,IF(L24&lt;=19,3,4)))</f>
        <v>4</v>
      </c>
    </row>
    <row r="25" customFormat="false" ht="15" hidden="false" customHeight="false" outlineLevel="0" collapsed="false">
      <c r="A25" s="17" t="s">
        <v>88</v>
      </c>
      <c r="B25" s="17" t="s">
        <v>188</v>
      </c>
      <c r="C25" s="17" t="s">
        <v>189</v>
      </c>
      <c r="D25" s="18" t="n">
        <f aca="false">SUMIF('State Market Summary'!$T$4:$T$54,$A25,'State Market Summary'!$B$4:$B$54)</f>
        <v>345</v>
      </c>
      <c r="E25" s="18" t="n">
        <f aca="false">SUMIF('State Market Summary'!$T$4:$T$54,$A25,'State Market Summary'!$C$4:$C$54)</f>
        <v>111</v>
      </c>
      <c r="F25" s="19" t="n">
        <v>1</v>
      </c>
      <c r="G25" s="18" t="n">
        <f aca="false">ROUND(D25/F25,0)</f>
        <v>345</v>
      </c>
      <c r="H25" s="20" t="n">
        <f aca="false">ROUND(E25/F25,1)</f>
        <v>111</v>
      </c>
      <c r="I25" s="21" t="n">
        <v>528815</v>
      </c>
      <c r="J25" s="22" t="n">
        <v>73245</v>
      </c>
      <c r="K25" s="23" t="n">
        <f aca="false">ROUND((40*D25/MAX($D$2:$D$26)+25*E25/MAX($E$2:$E$26)+10*I25/MAX($I$2:$I$26)+10*J25/MAX($J$2:$J$26))/85*100,1)</f>
        <v>25</v>
      </c>
      <c r="L25" s="17" t="n">
        <f aca="false">RANK(K25,$K$2:$K$26)</f>
        <v>24</v>
      </c>
      <c r="M25" s="19" t="n">
        <v>24</v>
      </c>
      <c r="N25" s="17" t="n">
        <f aca="false">M25-L25</f>
        <v>0</v>
      </c>
      <c r="O25" s="17" t="n">
        <f aca="false">IF(L25&lt;=7,1,IF(L25&lt;=12,2,IF(L25&lt;=19,3,4)))</f>
        <v>4</v>
      </c>
    </row>
    <row r="26" customFormat="false" ht="15" hidden="false" customHeight="false" outlineLevel="0" collapsed="false">
      <c r="A26" s="17" t="s">
        <v>127</v>
      </c>
      <c r="B26" s="17" t="s">
        <v>126</v>
      </c>
      <c r="C26" s="17" t="s">
        <v>190</v>
      </c>
      <c r="D26" s="18" t="n">
        <f aca="false">SUMIF('State Market Summary'!$T$4:$T$54,$A26,'State Market Summary'!$B$4:$B$54)</f>
        <v>364</v>
      </c>
      <c r="E26" s="18" t="n">
        <f aca="false">SUMIF('State Market Summary'!$T$4:$T$54,$A26,'State Market Summary'!$C$4:$C$54)</f>
        <v>97</v>
      </c>
      <c r="F26" s="19" t="n">
        <v>1</v>
      </c>
      <c r="G26" s="18" t="n">
        <f aca="false">ROUND(D26/F26,0)</f>
        <v>364</v>
      </c>
      <c r="H26" s="20" t="n">
        <f aca="false">ROUND(E26/F26,1)</f>
        <v>97</v>
      </c>
      <c r="I26" s="21" t="n">
        <v>473826</v>
      </c>
      <c r="J26" s="22" t="n">
        <v>65973</v>
      </c>
      <c r="K26" s="23" t="n">
        <f aca="false">ROUND((40*D26/MAX($D$2:$D$26)+25*E26/MAX($E$2:$E$26)+10*I26/MAX($I$2:$I$26)+10*J26/MAX($J$2:$J$26))/85*100,1)</f>
        <v>23.8</v>
      </c>
      <c r="L26" s="17" t="n">
        <f aca="false">RANK(K26,$K$2:$K$26)</f>
        <v>25</v>
      </c>
      <c r="M26" s="19" t="n">
        <v>25</v>
      </c>
      <c r="N26" s="17" t="n">
        <f aca="false">M26-L26</f>
        <v>0</v>
      </c>
      <c r="O26" s="17" t="n">
        <f aca="false">IF(L26&lt;=7,1,IF(L26&lt;=12,2,IF(L26&lt;=19,3,4)))</f>
        <v>4</v>
      </c>
    </row>
    <row r="27" customFormat="false" ht="15" hidden="false" customHeight="false" outlineLevel="0" collapsed="false">
      <c r="A27" s="24" t="s">
        <v>54</v>
      </c>
      <c r="B27" s="24"/>
      <c r="C27" s="24"/>
      <c r="D27" s="25" t="n">
        <f aca="false">SUM(D2:D26)</f>
        <v>18405</v>
      </c>
      <c r="E27" s="25" t="n">
        <f aca="false">SUM(E2:E26)</f>
        <v>5862</v>
      </c>
      <c r="F27" s="25" t="n">
        <f aca="false">SUM(F2:F26)</f>
        <v>28</v>
      </c>
      <c r="G27" s="25" t="n">
        <f aca="false">ROUND(D27/F27,0)</f>
        <v>657</v>
      </c>
      <c r="H27" s="26" t="n">
        <f aca="false">ROUND(E27/F27,1)</f>
        <v>209.4</v>
      </c>
      <c r="I27" s="25" t="n">
        <f aca="false">SUM(I2:I26)</f>
        <v>30870179</v>
      </c>
      <c r="J27" s="24"/>
      <c r="K27" s="24"/>
      <c r="L27" s="24"/>
      <c r="M27" s="24"/>
      <c r="N27" s="24"/>
      <c r="O27" s="24"/>
    </row>
    <row r="29" customFormat="false" ht="51.75" hidden="false" customHeight="true" outlineLevel="0" collapsed="false">
      <c r="A29" s="9" t="s">
        <v>191</v>
      </c>
      <c r="B29" s="9"/>
      <c r="C29" s="9"/>
      <c r="D29" s="9"/>
      <c r="E29" s="9"/>
      <c r="F29" s="9"/>
      <c r="G29" s="9"/>
      <c r="H29" s="9"/>
      <c r="I29" s="9"/>
      <c r="J29" s="9"/>
      <c r="K29" s="9"/>
      <c r="L29" s="9"/>
      <c r="M29" s="9"/>
      <c r="N29" s="9"/>
      <c r="O29" s="9"/>
    </row>
  </sheetData>
  <mergeCells count="1">
    <mergeCell ref="A29:O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9"/>
    <col collapsed="false" customWidth="true" hidden="false" outlineLevel="0" max="2" min="2" style="1" width="80"/>
    <col collapsed="false" customWidth="true" hidden="false" outlineLevel="0" max="3" min="3" style="1" width="11"/>
    <col collapsed="false" customWidth="true" hidden="false" outlineLevel="0" max="4" min="4" style="1" width="14"/>
    <col collapsed="false" customWidth="true" hidden="false" outlineLevel="0" max="5" min="5" style="1" width="34"/>
  </cols>
  <sheetData>
    <row r="1" customFormat="false" ht="15" hidden="false" customHeight="true" outlineLevel="0" collapsed="false">
      <c r="A1" s="4" t="s">
        <v>192</v>
      </c>
      <c r="B1" s="4" t="s">
        <v>193</v>
      </c>
      <c r="C1" s="4" t="s">
        <v>194</v>
      </c>
      <c r="D1" s="4" t="s">
        <v>195</v>
      </c>
      <c r="E1" s="4" t="s">
        <v>196</v>
      </c>
    </row>
    <row r="2" customFormat="false" ht="15" hidden="false" customHeight="true" outlineLevel="0" collapsed="false">
      <c r="A2" s="7" t="s">
        <v>197</v>
      </c>
      <c r="B2" s="27" t="s">
        <v>198</v>
      </c>
      <c r="C2" s="8" t="n">
        <f aca="false">SUMIF('Territory Plan'!$O$2:$O$26,1,'Territory Plan'!$F$2:$F$26)</f>
        <v>10</v>
      </c>
      <c r="D2" s="8" t="n">
        <f aca="false">SUM($C$2:$C2)</f>
        <v>10</v>
      </c>
      <c r="E2" s="7" t="s">
        <v>199</v>
      </c>
    </row>
    <row r="3" customFormat="false" ht="15" hidden="false" customHeight="true" outlineLevel="0" collapsed="false">
      <c r="A3" s="7" t="s">
        <v>200</v>
      </c>
      <c r="B3" s="27" t="s">
        <v>201</v>
      </c>
      <c r="C3" s="8" t="n">
        <f aca="false">SUMIF('Territory Plan'!$O$2:$O$26,2,'Territory Plan'!$F$2:$F$26)</f>
        <v>5</v>
      </c>
      <c r="D3" s="8" t="n">
        <f aca="false">SUM($C$2:$C3)</f>
        <v>15</v>
      </c>
      <c r="E3" s="7" t="s">
        <v>202</v>
      </c>
    </row>
    <row r="4" customFormat="false" ht="15" hidden="false" customHeight="true" outlineLevel="0" collapsed="false">
      <c r="A4" s="7" t="s">
        <v>203</v>
      </c>
      <c r="B4" s="27" t="s">
        <v>204</v>
      </c>
      <c r="C4" s="8" t="n">
        <f aca="false">SUMIF('Territory Plan'!$O$2:$O$26,3,'Territory Plan'!$F$2:$F$26)</f>
        <v>7</v>
      </c>
      <c r="D4" s="8" t="n">
        <f aca="false">SUM($C$2:$C4)</f>
        <v>22</v>
      </c>
      <c r="E4" s="7" t="s">
        <v>205</v>
      </c>
    </row>
    <row r="5" customFormat="false" ht="15" hidden="false" customHeight="true" outlineLevel="0" collapsed="false">
      <c r="A5" s="7" t="s">
        <v>206</v>
      </c>
      <c r="B5" s="27" t="s">
        <v>207</v>
      </c>
      <c r="C5" s="8" t="n">
        <f aca="false">SUMIF('Territory Plan'!$O$2:$O$26,4,'Territory Plan'!$F$2:$F$26)</f>
        <v>6</v>
      </c>
      <c r="D5" s="8" t="n">
        <f aca="false">SUM($C$2:$C5)</f>
        <v>28</v>
      </c>
      <c r="E5" s="7" t="s">
        <v>208</v>
      </c>
    </row>
    <row r="7" customFormat="false" ht="30" hidden="false" customHeight="true" outlineLevel="0" collapsed="false">
      <c r="A7" s="28" t="s">
        <v>209</v>
      </c>
      <c r="B7" s="28"/>
      <c r="C7" s="28"/>
      <c r="D7" s="28"/>
      <c r="E7" s="28"/>
    </row>
    <row r="8" customFormat="false" ht="30" hidden="false" customHeight="true" outlineLevel="0" collapsed="false">
      <c r="A8" s="9" t="s">
        <v>210</v>
      </c>
      <c r="B8" s="9"/>
      <c r="C8" s="9"/>
      <c r="D8" s="9"/>
      <c r="E8" s="9"/>
    </row>
  </sheetData>
  <mergeCells count="2">
    <mergeCell ref="A7:E7"/>
    <mergeCell ref="A8:E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E1:R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5" min="5" style="1" width="20"/>
    <col collapsed="false" customWidth="true" hidden="false" outlineLevel="0" max="6" min="6" style="1" width="9"/>
    <col collapsed="false" customWidth="true" hidden="false" outlineLevel="0" max="7" min="7" style="1" width="10"/>
    <col collapsed="false" customWidth="true" hidden="false" outlineLevel="0" max="9" min="8" style="1" width="12"/>
    <col collapsed="false" customWidth="true" hidden="false" outlineLevel="0" max="10" min="10" style="1" width="7"/>
    <col collapsed="false" customWidth="true" hidden="false" outlineLevel="0" max="13" min="11" style="1" width="10"/>
    <col collapsed="false" customWidth="true" hidden="false" outlineLevel="0" max="15" min="14" style="1" width="11"/>
    <col collapsed="false" customWidth="true" hidden="false" outlineLevel="0" max="16" min="16" style="1" width="10"/>
    <col collapsed="false" customWidth="true" hidden="false" outlineLevel="0" max="17" min="17" style="1" width="8"/>
    <col collapsed="false" customWidth="true" hidden="false" outlineLevel="0" max="18" min="18" style="1" width="7"/>
  </cols>
  <sheetData>
    <row r="1" customFormat="false" ht="15" hidden="false" customHeight="true" outlineLevel="0" collapsed="false">
      <c r="E1" s="10" t="s">
        <v>211</v>
      </c>
      <c r="F1" s="10"/>
      <c r="G1" s="10"/>
      <c r="H1" s="10"/>
      <c r="I1" s="10"/>
      <c r="J1" s="10"/>
      <c r="K1" s="10"/>
      <c r="L1" s="10"/>
      <c r="M1" s="10"/>
      <c r="N1" s="10"/>
      <c r="O1" s="10"/>
      <c r="P1" s="10"/>
      <c r="Q1" s="10"/>
      <c r="R1" s="10"/>
    </row>
    <row r="2" customFormat="false" ht="15" hidden="false" customHeight="true" outlineLevel="0" collapsed="false">
      <c r="J2" s="29" t="s">
        <v>212</v>
      </c>
      <c r="K2" s="30" t="s">
        <v>213</v>
      </c>
      <c r="L2" s="30" t="s">
        <v>214</v>
      </c>
      <c r="N2" s="30" t="s">
        <v>215</v>
      </c>
      <c r="O2" s="30" t="s">
        <v>215</v>
      </c>
      <c r="P2" s="30" t="s">
        <v>216</v>
      </c>
    </row>
    <row r="3" customFormat="false" ht="34.5" hidden="false" customHeight="true" outlineLevel="0" collapsed="false">
      <c r="E3" s="16" t="s">
        <v>64</v>
      </c>
      <c r="F3" s="16" t="s">
        <v>58</v>
      </c>
      <c r="G3" s="16" t="s">
        <v>59</v>
      </c>
      <c r="H3" s="16" t="s">
        <v>217</v>
      </c>
      <c r="I3" s="16" t="s">
        <v>218</v>
      </c>
      <c r="J3" s="16" t="s">
        <v>219</v>
      </c>
      <c r="K3" s="16" t="s">
        <v>220</v>
      </c>
      <c r="L3" s="16" t="s">
        <v>221</v>
      </c>
      <c r="M3" s="16" t="s">
        <v>222</v>
      </c>
      <c r="N3" s="16" t="s">
        <v>223</v>
      </c>
      <c r="O3" s="16" t="s">
        <v>224</v>
      </c>
      <c r="P3" s="16" t="s">
        <v>225</v>
      </c>
      <c r="Q3" s="16" t="s">
        <v>226</v>
      </c>
      <c r="R3" s="16" t="s">
        <v>227</v>
      </c>
    </row>
    <row r="4" customFormat="false" ht="15" hidden="false" customHeight="true" outlineLevel="0" collapsed="false">
      <c r="E4" s="7" t="s">
        <v>228</v>
      </c>
      <c r="F4" s="8" t="n">
        <f aca="false">SUMIF('State Market Summary'!$T$4:$T$54,"T01",'State Market Summary'!$B$4:$B$54)</f>
        <v>1660</v>
      </c>
      <c r="G4" s="8" t="n">
        <f aca="false">SUMIF('State Market Summary'!$T$4:$T$54,"T01",'State Market Summary'!$C$4:$C$54)</f>
        <v>540</v>
      </c>
      <c r="H4" s="8" t="n">
        <f aca="false">SUMIF('State Market Summary'!$T$4:$T$54,"T01",'State Market Summary'!$N$4:$N$54)</f>
        <v>585</v>
      </c>
      <c r="I4" s="8" t="n">
        <f aca="false">SUMIF('State Market Summary'!$T$4:$T$54,"T01",'State Market Summary'!$O$4:$O$54)</f>
        <v>127</v>
      </c>
      <c r="J4" s="31" t="n">
        <v>3</v>
      </c>
      <c r="K4" s="8" t="n">
        <f aca="false">ROUND(F4/J4,0)</f>
        <v>553</v>
      </c>
      <c r="L4" s="32" t="n">
        <f aca="false">ROUND(G4/J4,1)</f>
        <v>180</v>
      </c>
      <c r="M4" s="33" t="n">
        <f aca="false">H4/F4</f>
        <v>0.352409638554217</v>
      </c>
      <c r="N4" s="34" t="n">
        <v>3090173</v>
      </c>
      <c r="O4" s="35" t="n">
        <v>78473</v>
      </c>
      <c r="P4" s="36" t="n">
        <v>31.7</v>
      </c>
      <c r="Q4" s="37" t="n">
        <f aca="false">ROUND((20*100*(K4-MIN($K$4:$K$28))/(MAX($K$4:$K$28)-MIN($K$4:$K$28))+60*100*(L4-MIN($L$4:$L$28))/(MAX($L$4:$L$28)-MIN($L$4:$L$28))+10*100*(N4-MIN($N$4:$N$28))/(MAX($N$4:$N$28)-MIN($N$4:$N$28))+10*100*(O4-MIN($O$4:$O$28))/(MAX($O$4:$O$28)-MIN($O$4:$O$28)))/100,1)</f>
        <v>34.4</v>
      </c>
      <c r="R4" s="7" t="n">
        <f aca="false">RANK(Q4,$Q$4:$Q$28)</f>
        <v>11</v>
      </c>
    </row>
    <row r="5" customFormat="false" ht="15" hidden="false" customHeight="true" outlineLevel="0" collapsed="false">
      <c r="E5" s="7" t="s">
        <v>229</v>
      </c>
      <c r="F5" s="8" t="n">
        <f aca="false">SUMIF('State Market Summary'!$T$4:$T$54,"T02",'State Market Summary'!$B$4:$B$54)</f>
        <v>1579</v>
      </c>
      <c r="G5" s="8" t="n">
        <f aca="false">SUMIF('State Market Summary'!$T$4:$T$54,"T02",'State Market Summary'!$C$4:$C$54)</f>
        <v>688</v>
      </c>
      <c r="H5" s="8" t="n">
        <f aca="false">SUMIF('State Market Summary'!$T$4:$T$54,"T02",'State Market Summary'!$N$4:$N$54)</f>
        <v>857</v>
      </c>
      <c r="I5" s="8" t="n">
        <f aca="false">SUMIF('State Market Summary'!$T$4:$T$54,"T02",'State Market Summary'!$O$4:$O$54)</f>
        <v>267</v>
      </c>
      <c r="J5" s="31" t="n">
        <v>2</v>
      </c>
      <c r="K5" s="8" t="n">
        <f aca="false">ROUND(F5/J5,0)</f>
        <v>790</v>
      </c>
      <c r="L5" s="32" t="n">
        <f aca="false">ROUND(G5/J5,1)</f>
        <v>344</v>
      </c>
      <c r="M5" s="33" t="n">
        <f aca="false">H5/F5</f>
        <v>0.542748575047498</v>
      </c>
      <c r="N5" s="34" t="n">
        <v>3819366</v>
      </c>
      <c r="O5" s="35" t="n">
        <v>97969</v>
      </c>
      <c r="P5" s="36" t="n">
        <v>34.9</v>
      </c>
      <c r="Q5" s="37" t="n">
        <f aca="false">ROUND((20*100*(K5-MIN($K$4:$K$28))/(MAX($K$4:$K$28)-MIN($K$4:$K$28))+60*100*(L5-MIN($L$4:$L$28))/(MAX($L$4:$L$28)-MIN($L$4:$L$28))+10*100*(N5-MIN($N$4:$N$28))/(MAX($N$4:$N$28)-MIN($N$4:$N$28))+10*100*(O5-MIN($O$4:$O$28))/(MAX($O$4:$O$28)-MIN($O$4:$O$28)))/100,1)</f>
        <v>80</v>
      </c>
      <c r="R5" s="7" t="n">
        <f aca="false">RANK(Q5,$Q$4:$Q$28)</f>
        <v>2</v>
      </c>
    </row>
    <row r="6" customFormat="false" ht="15" hidden="false" customHeight="true" outlineLevel="0" collapsed="false">
      <c r="E6" s="7" t="s">
        <v>230</v>
      </c>
      <c r="F6" s="8" t="n">
        <f aca="false">SUMIF('State Market Summary'!$T$4:$T$54,"T03",'State Market Summary'!$B$4:$B$54)</f>
        <v>1030</v>
      </c>
      <c r="G6" s="8" t="n">
        <f aca="false">SUMIF('State Market Summary'!$T$4:$T$54,"T03",'State Market Summary'!$C$4:$C$54)</f>
        <v>404</v>
      </c>
      <c r="H6" s="8" t="n">
        <f aca="false">SUMIF('State Market Summary'!$T$4:$T$54,"T03",'State Market Summary'!$N$4:$N$54)</f>
        <v>414</v>
      </c>
      <c r="I6" s="8" t="n">
        <f aca="false">SUMIF('State Market Summary'!$T$4:$T$54,"T03",'State Market Summary'!$O$4:$O$54)</f>
        <v>149</v>
      </c>
      <c r="J6" s="31" t="n">
        <v>1</v>
      </c>
      <c r="K6" s="8" t="n">
        <f aca="false">ROUND(F6/J6,0)</f>
        <v>1030</v>
      </c>
      <c r="L6" s="32" t="n">
        <f aca="false">ROUND(G6/J6,1)</f>
        <v>404</v>
      </c>
      <c r="M6" s="33" t="n">
        <f aca="false">H6/F6</f>
        <v>0.401941747572816</v>
      </c>
      <c r="N6" s="34" t="n">
        <v>1726412</v>
      </c>
      <c r="O6" s="35" t="n">
        <v>89542</v>
      </c>
      <c r="P6" s="36" t="n">
        <v>38.3</v>
      </c>
      <c r="Q6" s="37" t="n">
        <f aca="false">ROUND((20*100*(K6-MIN($K$4:$K$28))/(MAX($K$4:$K$28)-MIN($K$4:$K$28))+60*100*(L6-MIN($L$4:$L$28))/(MAX($L$4:$L$28)-MIN($L$4:$L$28))+10*100*(N6-MIN($N$4:$N$28))/(MAX($N$4:$N$28)-MIN($N$4:$N$28))+10*100*(O6-MIN($O$4:$O$28))/(MAX($O$4:$O$28)-MIN($O$4:$O$28)))/100,1)</f>
        <v>89.5</v>
      </c>
      <c r="R6" s="7" t="n">
        <f aca="false">RANK(Q6,$Q$4:$Q$28)</f>
        <v>1</v>
      </c>
    </row>
    <row r="7" customFormat="false" ht="15" hidden="false" customHeight="true" outlineLevel="0" collapsed="false">
      <c r="E7" s="7" t="s">
        <v>231</v>
      </c>
      <c r="F7" s="8" t="n">
        <f aca="false">SUMIF('State Market Summary'!$T$4:$T$54,"T04",'State Market Summary'!$B$4:$B$54)</f>
        <v>795</v>
      </c>
      <c r="G7" s="8" t="n">
        <f aca="false">SUMIF('State Market Summary'!$T$4:$T$54,"T04",'State Market Summary'!$C$4:$C$54)</f>
        <v>178</v>
      </c>
      <c r="H7" s="8" t="n">
        <f aca="false">SUMIF('State Market Summary'!$T$4:$T$54,"T04",'State Market Summary'!$N$4:$N$54)</f>
        <v>347</v>
      </c>
      <c r="I7" s="8" t="n">
        <f aca="false">SUMIF('State Market Summary'!$T$4:$T$54,"T04",'State Market Summary'!$O$4:$O$54)</f>
        <v>74</v>
      </c>
      <c r="J7" s="31" t="n">
        <v>1</v>
      </c>
      <c r="K7" s="8" t="n">
        <f aca="false">ROUND(F7/J7,0)</f>
        <v>795</v>
      </c>
      <c r="L7" s="32" t="n">
        <f aca="false">ROUND(G7/J7,1)</f>
        <v>178</v>
      </c>
      <c r="M7" s="33" t="n">
        <f aca="false">H7/F7</f>
        <v>0.436477987421384</v>
      </c>
      <c r="N7" s="34" t="n">
        <v>1089150</v>
      </c>
      <c r="O7" s="35" t="n">
        <v>71229</v>
      </c>
      <c r="P7" s="36" t="n">
        <v>30.4</v>
      </c>
      <c r="Q7" s="37" t="n">
        <f aca="false">ROUND((20*100*(K7-MIN($K$4:$K$28))/(MAX($K$4:$K$28)-MIN($K$4:$K$28))+60*100*(L7-MIN($L$4:$L$28))/(MAX($L$4:$L$28)-MIN($L$4:$L$28))+10*100*(N7-MIN($N$4:$N$28))/(MAX($N$4:$N$28)-MIN($N$4:$N$28))+10*100*(O7-MIN($O$4:$O$28))/(MAX($O$4:$O$28)-MIN($O$4:$O$28)))/100,1)</f>
        <v>32.5</v>
      </c>
      <c r="R7" s="7" t="n">
        <f aca="false">RANK(Q7,$Q$4:$Q$28)</f>
        <v>13</v>
      </c>
    </row>
    <row r="8" customFormat="false" ht="15" hidden="false" customHeight="true" outlineLevel="0" collapsed="false">
      <c r="E8" s="7" t="s">
        <v>232</v>
      </c>
      <c r="F8" s="8" t="n">
        <f aca="false">SUMIF('State Market Summary'!$T$4:$T$54,"T05",'State Market Summary'!$B$4:$B$54)</f>
        <v>1107</v>
      </c>
      <c r="G8" s="8" t="n">
        <f aca="false">SUMIF('State Market Summary'!$T$4:$T$54,"T05",'State Market Summary'!$C$4:$C$54)</f>
        <v>273</v>
      </c>
      <c r="H8" s="8" t="n">
        <f aca="false">SUMIF('State Market Summary'!$T$4:$T$54,"T05",'State Market Summary'!$N$4:$N$54)</f>
        <v>278</v>
      </c>
      <c r="I8" s="8" t="n">
        <f aca="false">SUMIF('State Market Summary'!$T$4:$T$54,"T05",'State Market Summary'!$O$4:$O$54)</f>
        <v>120</v>
      </c>
      <c r="J8" s="31" t="n">
        <v>1</v>
      </c>
      <c r="K8" s="8" t="n">
        <f aca="false">ROUND(F8/J8,0)</f>
        <v>1107</v>
      </c>
      <c r="L8" s="32" t="n">
        <f aca="false">ROUND(G8/J8,1)</f>
        <v>273</v>
      </c>
      <c r="M8" s="33" t="n">
        <f aca="false">H8/F8</f>
        <v>0.251129177958446</v>
      </c>
      <c r="N8" s="34" t="n">
        <v>1780020</v>
      </c>
      <c r="O8" s="35" t="n">
        <v>71602</v>
      </c>
      <c r="P8" s="36" t="n">
        <v>32.2</v>
      </c>
      <c r="Q8" s="37" t="n">
        <f aca="false">ROUND((20*100*(K8-MIN($K$4:$K$28))/(MAX($K$4:$K$28)-MIN($K$4:$K$28))+60*100*(L8-MIN($L$4:$L$28))/(MAX($L$4:$L$28)-MIN($L$4:$L$28))+10*100*(N8-MIN($N$4:$N$28))/(MAX($N$4:$N$28)-MIN($N$4:$N$28))+10*100*(O8-MIN($O$4:$O$28))/(MAX($O$4:$O$28)-MIN($O$4:$O$28)))/100,1)</f>
        <v>61.4</v>
      </c>
      <c r="R8" s="7" t="n">
        <f aca="false">RANK(Q8,$Q$4:$Q$28)</f>
        <v>5</v>
      </c>
    </row>
    <row r="9" customFormat="false" ht="15" hidden="false" customHeight="true" outlineLevel="0" collapsed="false">
      <c r="E9" s="7" t="s">
        <v>233</v>
      </c>
      <c r="F9" s="8" t="n">
        <f aca="false">SUMIF('State Market Summary'!$T$4:$T$54,"T06",'State Market Summary'!$B$4:$B$54)</f>
        <v>1035</v>
      </c>
      <c r="G9" s="8" t="n">
        <f aca="false">SUMIF('State Market Summary'!$T$4:$T$54,"T06",'State Market Summary'!$C$4:$C$54)</f>
        <v>338</v>
      </c>
      <c r="H9" s="8" t="n">
        <f aca="false">SUMIF('State Market Summary'!$T$4:$T$54,"T06",'State Market Summary'!$N$4:$N$54)</f>
        <v>442</v>
      </c>
      <c r="I9" s="8" t="n">
        <f aca="false">SUMIF('State Market Summary'!$T$4:$T$54,"T06",'State Market Summary'!$O$4:$O$54)</f>
        <v>115</v>
      </c>
      <c r="J9" s="31" t="n">
        <v>1</v>
      </c>
      <c r="K9" s="8" t="n">
        <f aca="false">ROUND(F9/J9,0)</f>
        <v>1035</v>
      </c>
      <c r="L9" s="32" t="n">
        <f aca="false">ROUND(G9/J9,1)</f>
        <v>338</v>
      </c>
      <c r="M9" s="33" t="n">
        <f aca="false">H9/F9</f>
        <v>0.427053140096618</v>
      </c>
      <c r="N9" s="34" t="n">
        <v>1985432</v>
      </c>
      <c r="O9" s="35" t="n">
        <v>89604</v>
      </c>
      <c r="P9" s="36" t="n">
        <v>37.1</v>
      </c>
      <c r="Q9" s="37" t="n">
        <f aca="false">ROUND((20*100*(K9-MIN($K$4:$K$28))/(MAX($K$4:$K$28)-MIN($K$4:$K$28))+60*100*(L9-MIN($L$4:$L$28))/(MAX($L$4:$L$28)-MIN($L$4:$L$28))+10*100*(N9-MIN($N$4:$N$28))/(MAX($N$4:$N$28)-MIN($N$4:$N$28))+10*100*(O9-MIN($O$4:$O$28))/(MAX($O$4:$O$28)-MIN($O$4:$O$28)))/100,1)</f>
        <v>77.5</v>
      </c>
      <c r="R9" s="7" t="n">
        <f aca="false">RANK(Q9,$Q$4:$Q$28)</f>
        <v>3</v>
      </c>
    </row>
    <row r="10" customFormat="false" ht="15" hidden="false" customHeight="true" outlineLevel="0" collapsed="false">
      <c r="E10" s="7" t="s">
        <v>234</v>
      </c>
      <c r="F10" s="8" t="n">
        <f aca="false">SUMIF('State Market Summary'!$T$4:$T$54,"T07",'State Market Summary'!$B$4:$B$54)</f>
        <v>746</v>
      </c>
      <c r="G10" s="8" t="n">
        <f aca="false">SUMIF('State Market Summary'!$T$4:$T$54,"T07",'State Market Summary'!$C$4:$C$54)</f>
        <v>207</v>
      </c>
      <c r="H10" s="8" t="n">
        <f aca="false">SUMIF('State Market Summary'!$T$4:$T$54,"T07",'State Market Summary'!$N$4:$N$54)</f>
        <v>441</v>
      </c>
      <c r="I10" s="8" t="n">
        <f aca="false">SUMIF('State Market Summary'!$T$4:$T$54,"T07",'State Market Summary'!$O$4:$O$54)</f>
        <v>96</v>
      </c>
      <c r="J10" s="31" t="n">
        <v>1</v>
      </c>
      <c r="K10" s="8" t="n">
        <f aca="false">ROUND(F10/J10,0)</f>
        <v>746</v>
      </c>
      <c r="L10" s="32" t="n">
        <f aca="false">ROUND(G10/J10,1)</f>
        <v>207</v>
      </c>
      <c r="M10" s="33" t="n">
        <f aca="false">H10/F10</f>
        <v>0.591152815013405</v>
      </c>
      <c r="N10" s="34" t="n">
        <v>910821</v>
      </c>
      <c r="O10" s="35" t="n">
        <v>72965</v>
      </c>
      <c r="P10" s="36" t="n">
        <v>31.3</v>
      </c>
      <c r="Q10" s="37" t="n">
        <f aca="false">ROUND((20*100*(K10-MIN($K$4:$K$28))/(MAX($K$4:$K$28)-MIN($K$4:$K$28))+60*100*(L10-MIN($L$4:$L$28))/(MAX($L$4:$L$28)-MIN($L$4:$L$28))+10*100*(N10-MIN($N$4:$N$28))/(MAX($N$4:$N$28)-MIN($N$4:$N$28))+10*100*(O10-MIN($O$4:$O$28))/(MAX($O$4:$O$28)-MIN($O$4:$O$28)))/100,1)</f>
        <v>36.8</v>
      </c>
      <c r="R10" s="7" t="n">
        <f aca="false">RANK(Q10,$Q$4:$Q$28)</f>
        <v>10</v>
      </c>
    </row>
    <row r="11" customFormat="false" ht="15" hidden="false" customHeight="true" outlineLevel="0" collapsed="false">
      <c r="E11" s="7" t="s">
        <v>235</v>
      </c>
      <c r="F11" s="8" t="n">
        <f aca="false">SUMIF('State Market Summary'!$T$4:$T$54,"T08",'State Market Summary'!$B$4:$B$54)</f>
        <v>918</v>
      </c>
      <c r="G11" s="8" t="n">
        <f aca="false">SUMIF('State Market Summary'!$T$4:$T$54,"T08",'State Market Summary'!$C$4:$C$54)</f>
        <v>279</v>
      </c>
      <c r="H11" s="8" t="n">
        <f aca="false">SUMIF('State Market Summary'!$T$4:$T$54,"T08",'State Market Summary'!$N$4:$N$54)</f>
        <v>430</v>
      </c>
      <c r="I11" s="8" t="n">
        <f aca="false">SUMIF('State Market Summary'!$T$4:$T$54,"T08",'State Market Summary'!$O$4:$O$54)</f>
        <v>135</v>
      </c>
      <c r="J11" s="31" t="n">
        <v>1</v>
      </c>
      <c r="K11" s="8" t="n">
        <f aca="false">ROUND(F11/J11,0)</f>
        <v>918</v>
      </c>
      <c r="L11" s="32" t="n">
        <f aca="false">ROUND(G11/J11,1)</f>
        <v>279</v>
      </c>
      <c r="M11" s="33" t="n">
        <f aca="false">H11/F11</f>
        <v>0.468409586056645</v>
      </c>
      <c r="N11" s="34" t="n">
        <v>1294309</v>
      </c>
      <c r="O11" s="35" t="n">
        <v>97019</v>
      </c>
      <c r="P11" s="36" t="n">
        <v>42.3</v>
      </c>
      <c r="Q11" s="37" t="n">
        <f aca="false">ROUND((20*100*(K11-MIN($K$4:$K$28))/(MAX($K$4:$K$28)-MIN($K$4:$K$28))+60*100*(L11-MIN($L$4:$L$28))/(MAX($L$4:$L$28)-MIN($L$4:$L$28))+10*100*(N11-MIN($N$4:$N$28))/(MAX($N$4:$N$28)-MIN($N$4:$N$28))+10*100*(O11-MIN($O$4:$O$28))/(MAX($O$4:$O$28)-MIN($O$4:$O$28)))/100,1)</f>
        <v>62.8</v>
      </c>
      <c r="R11" s="7" t="n">
        <f aca="false">RANK(Q11,$Q$4:$Q$28)</f>
        <v>4</v>
      </c>
    </row>
    <row r="12" customFormat="false" ht="15" hidden="false" customHeight="true" outlineLevel="0" collapsed="false">
      <c r="E12" s="7" t="s">
        <v>236</v>
      </c>
      <c r="F12" s="8" t="n">
        <f aca="false">SUMIF('State Market Summary'!$T$4:$T$54,"T09",'State Market Summary'!$B$4:$B$54)</f>
        <v>758</v>
      </c>
      <c r="G12" s="8" t="n">
        <f aca="false">SUMIF('State Market Summary'!$T$4:$T$54,"T09",'State Market Summary'!$C$4:$C$54)</f>
        <v>176</v>
      </c>
      <c r="H12" s="8" t="n">
        <f aca="false">SUMIF('State Market Summary'!$T$4:$T$54,"T09",'State Market Summary'!$N$4:$N$54)</f>
        <v>373</v>
      </c>
      <c r="I12" s="8" t="n">
        <f aca="false">SUMIF('State Market Summary'!$T$4:$T$54,"T09",'State Market Summary'!$O$4:$O$54)</f>
        <v>87</v>
      </c>
      <c r="J12" s="31" t="n">
        <v>1</v>
      </c>
      <c r="K12" s="8" t="n">
        <f aca="false">ROUND(F12/J12,0)</f>
        <v>758</v>
      </c>
      <c r="L12" s="32" t="n">
        <f aca="false">ROUND(G12/J12,1)</f>
        <v>176</v>
      </c>
      <c r="M12" s="33" t="n">
        <f aca="false">H12/F12</f>
        <v>0.492084432717678</v>
      </c>
      <c r="N12" s="34" t="n">
        <v>1084210</v>
      </c>
      <c r="O12" s="35" t="n">
        <v>81797</v>
      </c>
      <c r="P12" s="36" t="n">
        <v>35.1</v>
      </c>
      <c r="Q12" s="37" t="n">
        <f aca="false">ROUND((20*100*(K12-MIN($K$4:$K$28))/(MAX($K$4:$K$28)-MIN($K$4:$K$28))+60*100*(L12-MIN($L$4:$L$28))/(MAX($L$4:$L$28)-MIN($L$4:$L$28))+10*100*(N12-MIN($N$4:$N$28))/(MAX($N$4:$N$28)-MIN($N$4:$N$28))+10*100*(O12-MIN($O$4:$O$28))/(MAX($O$4:$O$28)-MIN($O$4:$O$28)))/100,1)</f>
        <v>33.9</v>
      </c>
      <c r="R12" s="7" t="n">
        <f aca="false">RANK(Q12,$Q$4:$Q$28)</f>
        <v>12</v>
      </c>
    </row>
    <row r="13" customFormat="false" ht="15" hidden="false" customHeight="true" outlineLevel="0" collapsed="false">
      <c r="E13" s="7" t="s">
        <v>237</v>
      </c>
      <c r="F13" s="8" t="n">
        <f aca="false">SUMIF('State Market Summary'!$T$4:$T$54,"T10",'State Market Summary'!$B$4:$B$54)</f>
        <v>664</v>
      </c>
      <c r="G13" s="8" t="n">
        <f aca="false">SUMIF('State Market Summary'!$T$4:$T$54,"T10",'State Market Summary'!$C$4:$C$54)</f>
        <v>200</v>
      </c>
      <c r="H13" s="8" t="n">
        <f aca="false">SUMIF('State Market Summary'!$T$4:$T$54,"T10",'State Market Summary'!$N$4:$N$54)</f>
        <v>274</v>
      </c>
      <c r="I13" s="8" t="n">
        <f aca="false">SUMIF('State Market Summary'!$T$4:$T$54,"T10",'State Market Summary'!$O$4:$O$54)</f>
        <v>81</v>
      </c>
      <c r="J13" s="31" t="n">
        <v>1</v>
      </c>
      <c r="K13" s="8" t="n">
        <f aca="false">ROUND(F13/J13,0)</f>
        <v>664</v>
      </c>
      <c r="L13" s="32" t="n">
        <f aca="false">ROUND(G13/J13,1)</f>
        <v>200</v>
      </c>
      <c r="M13" s="33" t="n">
        <f aca="false">H13/F13</f>
        <v>0.412650602409639</v>
      </c>
      <c r="N13" s="34" t="n">
        <v>995376</v>
      </c>
      <c r="O13" s="35" t="n">
        <v>67472</v>
      </c>
      <c r="P13" s="36" t="n">
        <v>29.2</v>
      </c>
      <c r="Q13" s="37" t="n">
        <f aca="false">ROUND((20*100*(K13-MIN($K$4:$K$28))/(MAX($K$4:$K$28)-MIN($K$4:$K$28))+60*100*(L13-MIN($L$4:$L$28))/(MAX($L$4:$L$28)-MIN($L$4:$L$28))+10*100*(N13-MIN($N$4:$N$28))/(MAX($N$4:$N$28)-MIN($N$4:$N$28))+10*100*(O13-MIN($O$4:$O$28))/(MAX($O$4:$O$28)-MIN($O$4:$O$28)))/100,1)</f>
        <v>32.1</v>
      </c>
      <c r="R13" s="7" t="n">
        <f aca="false">RANK(Q13,$Q$4:$Q$28)</f>
        <v>15</v>
      </c>
    </row>
    <row r="14" customFormat="false" ht="15" hidden="false" customHeight="true" outlineLevel="0" collapsed="false">
      <c r="E14" s="7" t="s">
        <v>238</v>
      </c>
      <c r="F14" s="8" t="n">
        <f aca="false">SUMIF('State Market Summary'!$T$4:$T$54,"T11",'State Market Summary'!$B$4:$B$54)</f>
        <v>683</v>
      </c>
      <c r="G14" s="8" t="n">
        <f aca="false">SUMIF('State Market Summary'!$T$4:$T$54,"T11",'State Market Summary'!$C$4:$C$54)</f>
        <v>220</v>
      </c>
      <c r="H14" s="8" t="n">
        <f aca="false">SUMIF('State Market Summary'!$T$4:$T$54,"T11",'State Market Summary'!$N$4:$N$54)</f>
        <v>122</v>
      </c>
      <c r="I14" s="8" t="n">
        <f aca="false">SUMIF('State Market Summary'!$T$4:$T$54,"T11",'State Market Summary'!$O$4:$O$54)</f>
        <v>49</v>
      </c>
      <c r="J14" s="31" t="n">
        <v>1</v>
      </c>
      <c r="K14" s="8" t="n">
        <f aca="false">ROUND(F14/J14,0)</f>
        <v>683</v>
      </c>
      <c r="L14" s="32" t="n">
        <f aca="false">ROUND(G14/J14,1)</f>
        <v>220</v>
      </c>
      <c r="M14" s="33" t="n">
        <f aca="false">H14/F14</f>
        <v>0.178623718887262</v>
      </c>
      <c r="N14" s="34" t="n">
        <v>1070611</v>
      </c>
      <c r="O14" s="35" t="n">
        <v>75694</v>
      </c>
      <c r="P14" s="36" t="n">
        <v>33.4</v>
      </c>
      <c r="Q14" s="37" t="n">
        <f aca="false">ROUND((20*100*(K14-MIN($K$4:$K$28))/(MAX($K$4:$K$28)-MIN($K$4:$K$28))+60*100*(L14-MIN($L$4:$L$28))/(MAX($L$4:$L$28)-MIN($L$4:$L$28))+10*100*(N14-MIN($N$4:$N$28))/(MAX($N$4:$N$28)-MIN($N$4:$N$28))+10*100*(O14-MIN($O$4:$O$28))/(MAX($O$4:$O$28)-MIN($O$4:$O$28)))/100,1)</f>
        <v>38.9</v>
      </c>
      <c r="R14" s="7" t="n">
        <f aca="false">RANK(Q14,$Q$4:$Q$28)</f>
        <v>9</v>
      </c>
    </row>
    <row r="15" customFormat="false" ht="15" hidden="false" customHeight="true" outlineLevel="0" collapsed="false">
      <c r="E15" s="7" t="s">
        <v>239</v>
      </c>
      <c r="F15" s="8" t="n">
        <f aca="false">SUMIF('State Market Summary'!$T$4:$T$54,"T12",'State Market Summary'!$B$4:$B$54)</f>
        <v>734</v>
      </c>
      <c r="G15" s="8" t="n">
        <f aca="false">SUMIF('State Market Summary'!$T$4:$T$54,"T12",'State Market Summary'!$C$4:$C$54)</f>
        <v>225</v>
      </c>
      <c r="H15" s="8" t="n">
        <f aca="false">SUMIF('State Market Summary'!$T$4:$T$54,"T12",'State Market Summary'!$N$4:$N$54)</f>
        <v>383</v>
      </c>
      <c r="I15" s="8" t="n">
        <f aca="false">SUMIF('State Market Summary'!$T$4:$T$54,"T12",'State Market Summary'!$O$4:$O$54)</f>
        <v>112</v>
      </c>
      <c r="J15" s="31" t="n">
        <v>1</v>
      </c>
      <c r="K15" s="8" t="n">
        <f aca="false">ROUND(F15/J15,0)</f>
        <v>734</v>
      </c>
      <c r="L15" s="32" t="n">
        <f aca="false">ROUND(G15/J15,1)</f>
        <v>225</v>
      </c>
      <c r="M15" s="33" t="n">
        <f aca="false">H15/F15</f>
        <v>0.521798365122616</v>
      </c>
      <c r="N15" s="34" t="n">
        <v>1119028</v>
      </c>
      <c r="O15" s="35" t="n">
        <v>90198</v>
      </c>
      <c r="P15" s="36" t="n">
        <v>36.3</v>
      </c>
      <c r="Q15" s="37" t="n">
        <f aca="false">ROUND((20*100*(K15-MIN($K$4:$K$28))/(MAX($K$4:$K$28)-MIN($K$4:$K$28))+60*100*(L15-MIN($L$4:$L$28))/(MAX($L$4:$L$28)-MIN($L$4:$L$28))+10*100*(N15-MIN($N$4:$N$28))/(MAX($N$4:$N$28)-MIN($N$4:$N$28))+10*100*(O15-MIN($O$4:$O$28))/(MAX($O$4:$O$28)-MIN($O$4:$O$28)))/100,1)</f>
        <v>45.1</v>
      </c>
      <c r="R15" s="7" t="n">
        <f aca="false">RANK(Q15,$Q$4:$Q$28)</f>
        <v>7</v>
      </c>
    </row>
    <row r="16" customFormat="false" ht="15" hidden="false" customHeight="true" outlineLevel="0" collapsed="false">
      <c r="E16" s="7" t="s">
        <v>240</v>
      </c>
      <c r="F16" s="8" t="n">
        <f aca="false">SUMIF('State Market Summary'!$T$4:$T$54,"T13",'State Market Summary'!$B$4:$B$54)</f>
        <v>779</v>
      </c>
      <c r="G16" s="8" t="n">
        <f aca="false">SUMIF('State Market Summary'!$T$4:$T$54,"T13",'State Market Summary'!$C$4:$C$54)</f>
        <v>181</v>
      </c>
      <c r="H16" s="8" t="n">
        <f aca="false">SUMIF('State Market Summary'!$T$4:$T$54,"T13",'State Market Summary'!$N$4:$N$54)</f>
        <v>343</v>
      </c>
      <c r="I16" s="8" t="n">
        <f aca="false">SUMIF('State Market Summary'!$T$4:$T$54,"T13",'State Market Summary'!$O$4:$O$54)</f>
        <v>72</v>
      </c>
      <c r="J16" s="31" t="n">
        <v>1</v>
      </c>
      <c r="K16" s="8" t="n">
        <f aca="false">ROUND(F16/J16,0)</f>
        <v>779</v>
      </c>
      <c r="L16" s="32" t="n">
        <f aca="false">ROUND(G16/J16,1)</f>
        <v>181</v>
      </c>
      <c r="M16" s="33" t="n">
        <f aca="false">H16/F16</f>
        <v>0.440308087291399</v>
      </c>
      <c r="N16" s="34" t="n">
        <v>975468</v>
      </c>
      <c r="O16" s="35" t="n">
        <v>70436</v>
      </c>
      <c r="P16" s="36" t="n">
        <v>34</v>
      </c>
      <c r="Q16" s="37" t="n">
        <f aca="false">ROUND((20*100*(K16-MIN($K$4:$K$28))/(MAX($K$4:$K$28)-MIN($K$4:$K$28))+60*100*(L16-MIN($L$4:$L$28))/(MAX($L$4:$L$28)-MIN($L$4:$L$28))+10*100*(N16-MIN($N$4:$N$28))/(MAX($N$4:$N$28)-MIN($N$4:$N$28))+10*100*(O16-MIN($O$4:$O$28))/(MAX($O$4:$O$28)-MIN($O$4:$O$28)))/100,1)</f>
        <v>32.1</v>
      </c>
      <c r="R16" s="7" t="n">
        <f aca="false">RANK(Q16,$Q$4:$Q$28)</f>
        <v>15</v>
      </c>
    </row>
    <row r="17" customFormat="false" ht="15" hidden="false" customHeight="true" outlineLevel="0" collapsed="false">
      <c r="E17" s="7" t="s">
        <v>241</v>
      </c>
      <c r="F17" s="8" t="n">
        <f aca="false">SUMIF('State Market Summary'!$T$4:$T$54,"T14",'State Market Summary'!$B$4:$B$54)</f>
        <v>597</v>
      </c>
      <c r="G17" s="8" t="n">
        <f aca="false">SUMIF('State Market Summary'!$T$4:$T$54,"T14",'State Market Summary'!$C$4:$C$54)</f>
        <v>198</v>
      </c>
      <c r="H17" s="8" t="n">
        <f aca="false">SUMIF('State Market Summary'!$T$4:$T$54,"T14",'State Market Summary'!$N$4:$N$54)</f>
        <v>205</v>
      </c>
      <c r="I17" s="8" t="n">
        <f aca="false">SUMIF('State Market Summary'!$T$4:$T$54,"T14",'State Market Summary'!$O$4:$O$54)</f>
        <v>79</v>
      </c>
      <c r="J17" s="31" t="n">
        <v>1</v>
      </c>
      <c r="K17" s="8" t="n">
        <f aca="false">ROUND(F17/J17,0)</f>
        <v>597</v>
      </c>
      <c r="L17" s="32" t="n">
        <f aca="false">ROUND(G17/J17,1)</f>
        <v>198</v>
      </c>
      <c r="M17" s="33" t="n">
        <f aca="false">H17/F17</f>
        <v>0.343383584589615</v>
      </c>
      <c r="N17" s="34" t="n">
        <v>1097099</v>
      </c>
      <c r="O17" s="35" t="n">
        <v>68598</v>
      </c>
      <c r="P17" s="36" t="n">
        <v>30.5</v>
      </c>
      <c r="Q17" s="37" t="n">
        <f aca="false">ROUND((20*100*(K17-MIN($K$4:$K$28))/(MAX($K$4:$K$28)-MIN($K$4:$K$28))+60*100*(L17-MIN($L$4:$L$28))/(MAX($L$4:$L$28)-MIN($L$4:$L$28))+10*100*(N17-MIN($N$4:$N$28))/(MAX($N$4:$N$28)-MIN($N$4:$N$28))+10*100*(O17-MIN($O$4:$O$28))/(MAX($O$4:$O$28)-MIN($O$4:$O$28)))/100,1)</f>
        <v>30.5</v>
      </c>
      <c r="R17" s="7" t="n">
        <f aca="false">RANK(Q17,$Q$4:$Q$28)</f>
        <v>17</v>
      </c>
    </row>
    <row r="18" customFormat="false" ht="15" hidden="false" customHeight="true" outlineLevel="0" collapsed="false">
      <c r="E18" s="7" t="s">
        <v>242</v>
      </c>
      <c r="F18" s="8" t="n">
        <f aca="false">SUMIF('State Market Summary'!$T$4:$T$54,"T15",'State Market Summary'!$B$4:$B$54)</f>
        <v>594</v>
      </c>
      <c r="G18" s="8" t="n">
        <f aca="false">SUMIF('State Market Summary'!$T$4:$T$54,"T15",'State Market Summary'!$C$4:$C$54)</f>
        <v>231</v>
      </c>
      <c r="H18" s="8" t="n">
        <f aca="false">SUMIF('State Market Summary'!$T$4:$T$54,"T15",'State Market Summary'!$N$4:$N$54)</f>
        <v>199</v>
      </c>
      <c r="I18" s="8" t="n">
        <f aca="false">SUMIF('State Market Summary'!$T$4:$T$54,"T15",'State Market Summary'!$O$4:$O$54)</f>
        <v>83</v>
      </c>
      <c r="J18" s="31" t="n">
        <v>1</v>
      </c>
      <c r="K18" s="8" t="n">
        <f aca="false">ROUND(F18/J18,0)</f>
        <v>594</v>
      </c>
      <c r="L18" s="32" t="n">
        <f aca="false">ROUND(G18/J18,1)</f>
        <v>231</v>
      </c>
      <c r="M18" s="33" t="n">
        <f aca="false">H18/F18</f>
        <v>0.335016835016835</v>
      </c>
      <c r="N18" s="34" t="n">
        <v>1257732</v>
      </c>
      <c r="O18" s="35" t="n">
        <v>75026</v>
      </c>
      <c r="P18" s="36" t="n">
        <v>30</v>
      </c>
      <c r="Q18" s="37" t="n">
        <f aca="false">ROUND((20*100*(K18-MIN($K$4:$K$28))/(MAX($K$4:$K$28)-MIN($K$4:$K$28))+60*100*(L18-MIN($L$4:$L$28))/(MAX($L$4:$L$28)-MIN($L$4:$L$28))+10*100*(N18-MIN($N$4:$N$28))/(MAX($N$4:$N$28)-MIN($N$4:$N$28))+10*100*(O18-MIN($O$4:$O$28))/(MAX($O$4:$O$28)-MIN($O$4:$O$28)))/100,1)</f>
        <v>39.1</v>
      </c>
      <c r="R18" s="7" t="n">
        <f aca="false">RANK(Q18,$Q$4:$Q$28)</f>
        <v>8</v>
      </c>
    </row>
    <row r="19" customFormat="false" ht="15" hidden="false" customHeight="true" outlineLevel="0" collapsed="false">
      <c r="E19" s="7" t="s">
        <v>243</v>
      </c>
      <c r="F19" s="8" t="n">
        <f aca="false">SUMIF('State Market Summary'!$T$4:$T$54,"T16",'State Market Summary'!$B$4:$B$54)</f>
        <v>550</v>
      </c>
      <c r="G19" s="8" t="n">
        <f aca="false">SUMIF('State Market Summary'!$T$4:$T$54,"T16",'State Market Summary'!$C$4:$C$54)</f>
        <v>185</v>
      </c>
      <c r="H19" s="8" t="n">
        <f aca="false">SUMIF('State Market Summary'!$T$4:$T$54,"T16",'State Market Summary'!$N$4:$N$54)</f>
        <v>202</v>
      </c>
      <c r="I19" s="8" t="n">
        <f aca="false">SUMIF('State Market Summary'!$T$4:$T$54,"T16",'State Market Summary'!$O$4:$O$54)</f>
        <v>79</v>
      </c>
      <c r="J19" s="31" t="n">
        <v>1</v>
      </c>
      <c r="K19" s="8" t="n">
        <f aca="false">ROUND(F19/J19,0)</f>
        <v>550</v>
      </c>
      <c r="L19" s="32" t="n">
        <f aca="false">ROUND(G19/J19,1)</f>
        <v>185</v>
      </c>
      <c r="M19" s="33" t="n">
        <f aca="false">H19/F19</f>
        <v>0.367272727272727</v>
      </c>
      <c r="N19" s="34" t="n">
        <v>915366</v>
      </c>
      <c r="O19" s="35" t="n">
        <v>91862</v>
      </c>
      <c r="P19" s="36" t="n">
        <v>40.7</v>
      </c>
      <c r="Q19" s="37" t="n">
        <f aca="false">ROUND((20*100*(K19-MIN($K$4:$K$28))/(MAX($K$4:$K$28)-MIN($K$4:$K$28))+60*100*(L19-MIN($L$4:$L$28))/(MAX($L$4:$L$28)-MIN($L$4:$L$28))+10*100*(N19-MIN($N$4:$N$28))/(MAX($N$4:$N$28)-MIN($N$4:$N$28))+10*100*(O19-MIN($O$4:$O$28))/(MAX($O$4:$O$28)-MIN($O$4:$O$28)))/100,1)</f>
        <v>32.3</v>
      </c>
      <c r="R19" s="7" t="n">
        <f aca="false">RANK(Q19,$Q$4:$Q$28)</f>
        <v>14</v>
      </c>
    </row>
    <row r="20" customFormat="false" ht="15" hidden="false" customHeight="true" outlineLevel="0" collapsed="false">
      <c r="E20" s="7" t="s">
        <v>244</v>
      </c>
      <c r="F20" s="8" t="n">
        <f aca="false">SUMIF('State Market Summary'!$T$4:$T$54,"T17",'State Market Summary'!$B$4:$B$54)</f>
        <v>718</v>
      </c>
      <c r="G20" s="8" t="n">
        <f aca="false">SUMIF('State Market Summary'!$T$4:$T$54,"T17",'State Market Summary'!$C$4:$C$54)</f>
        <v>241</v>
      </c>
      <c r="H20" s="8" t="n">
        <f aca="false">SUMIF('State Market Summary'!$T$4:$T$54,"T17",'State Market Summary'!$N$4:$N$54)</f>
        <v>348</v>
      </c>
      <c r="I20" s="8" t="n">
        <f aca="false">SUMIF('State Market Summary'!$T$4:$T$54,"T17",'State Market Summary'!$O$4:$O$54)</f>
        <v>81</v>
      </c>
      <c r="J20" s="31" t="n">
        <v>1</v>
      </c>
      <c r="K20" s="8" t="n">
        <f aca="false">ROUND(F20/J20,0)</f>
        <v>718</v>
      </c>
      <c r="L20" s="32" t="n">
        <f aca="false">ROUND(G20/J20,1)</f>
        <v>241</v>
      </c>
      <c r="M20" s="33" t="n">
        <f aca="false">H20/F20</f>
        <v>0.484679665738162</v>
      </c>
      <c r="N20" s="34" t="n">
        <v>1191812</v>
      </c>
      <c r="O20" s="35" t="n">
        <v>84033</v>
      </c>
      <c r="P20" s="36" t="n">
        <v>36.3</v>
      </c>
      <c r="Q20" s="37" t="n">
        <f aca="false">ROUND((20*100*(K20-MIN($K$4:$K$28))/(MAX($K$4:$K$28)-MIN($K$4:$K$28))+60*100*(L20-MIN($L$4:$L$28))/(MAX($L$4:$L$28)-MIN($L$4:$L$28))+10*100*(N20-MIN($N$4:$N$28))/(MAX($N$4:$N$28)-MIN($N$4:$N$28))+10*100*(O20-MIN($O$4:$O$28))/(MAX($O$4:$O$28)-MIN($O$4:$O$28)))/100,1)</f>
        <v>46.4</v>
      </c>
      <c r="R20" s="7" t="n">
        <f aca="false">RANK(Q20,$Q$4:$Q$28)</f>
        <v>6</v>
      </c>
    </row>
    <row r="21" customFormat="false" ht="15" hidden="false" customHeight="true" outlineLevel="0" collapsed="false">
      <c r="E21" s="7" t="s">
        <v>245</v>
      </c>
      <c r="F21" s="8" t="n">
        <f aca="false">SUMIF('State Market Summary'!$T$4:$T$54,"T18",'State Market Summary'!$B$4:$B$54)</f>
        <v>462</v>
      </c>
      <c r="G21" s="8" t="n">
        <f aca="false">SUMIF('State Market Summary'!$T$4:$T$54,"T18",'State Market Summary'!$C$4:$C$54)</f>
        <v>174</v>
      </c>
      <c r="H21" s="8" t="n">
        <f aca="false">SUMIF('State Market Summary'!$T$4:$T$54,"T18",'State Market Summary'!$N$4:$N$54)</f>
        <v>89</v>
      </c>
      <c r="I21" s="8" t="n">
        <f aca="false">SUMIF('State Market Summary'!$T$4:$T$54,"T18",'State Market Summary'!$O$4:$O$54)</f>
        <v>37</v>
      </c>
      <c r="J21" s="31" t="n">
        <v>1</v>
      </c>
      <c r="K21" s="8" t="n">
        <f aca="false">ROUND(F21/J21,0)</f>
        <v>462</v>
      </c>
      <c r="L21" s="32" t="n">
        <f aca="false">ROUND(G21/J21,1)</f>
        <v>174</v>
      </c>
      <c r="M21" s="33" t="n">
        <f aca="false">H21/F21</f>
        <v>0.192640692640693</v>
      </c>
      <c r="N21" s="34" t="n">
        <v>772926</v>
      </c>
      <c r="O21" s="35" t="n">
        <v>60048</v>
      </c>
      <c r="P21" s="36" t="n">
        <v>26.1</v>
      </c>
      <c r="Q21" s="37" t="n">
        <f aca="false">ROUND((20*100*(K21-MIN($K$4:$K$28))/(MAX($K$4:$K$28)-MIN($K$4:$K$28))+60*100*(L21-MIN($L$4:$L$28))/(MAX($L$4:$L$28)-MIN($L$4:$L$28))+10*100*(N21-MIN($N$4:$N$28))/(MAX($N$4:$N$28)-MIN($N$4:$N$28))+10*100*(O21-MIN($O$4:$O$28))/(MAX($O$4:$O$28)-MIN($O$4:$O$28)))/100,1)</f>
        <v>19.1</v>
      </c>
      <c r="R21" s="7" t="n">
        <f aca="false">RANK(Q21,$Q$4:$Q$28)</f>
        <v>21</v>
      </c>
    </row>
    <row r="22" customFormat="false" ht="15" hidden="false" customHeight="true" outlineLevel="0" collapsed="false">
      <c r="E22" s="7" t="s">
        <v>246</v>
      </c>
      <c r="F22" s="8" t="n">
        <f aca="false">SUMIF('State Market Summary'!$T$4:$T$54,"T19",'State Market Summary'!$B$4:$B$54)</f>
        <v>477</v>
      </c>
      <c r="G22" s="8" t="n">
        <f aca="false">SUMIF('State Market Summary'!$T$4:$T$54,"T19",'State Market Summary'!$C$4:$C$54)</f>
        <v>176</v>
      </c>
      <c r="H22" s="8" t="n">
        <f aca="false">SUMIF('State Market Summary'!$T$4:$T$54,"T19",'State Market Summary'!$N$4:$N$54)</f>
        <v>201</v>
      </c>
      <c r="I22" s="8" t="n">
        <f aca="false">SUMIF('State Market Summary'!$T$4:$T$54,"T19",'State Market Summary'!$O$4:$O$54)</f>
        <v>69</v>
      </c>
      <c r="J22" s="31" t="n">
        <v>1</v>
      </c>
      <c r="K22" s="8" t="n">
        <f aca="false">ROUND(F22/J22,0)</f>
        <v>477</v>
      </c>
      <c r="L22" s="32" t="n">
        <f aca="false">ROUND(G22/J22,1)</f>
        <v>176</v>
      </c>
      <c r="M22" s="33" t="n">
        <f aca="false">H22/F22</f>
        <v>0.421383647798742</v>
      </c>
      <c r="N22" s="34" t="n">
        <v>739152</v>
      </c>
      <c r="O22" s="35" t="n">
        <v>59699</v>
      </c>
      <c r="P22" s="36" t="n">
        <v>25.6</v>
      </c>
      <c r="Q22" s="37" t="n">
        <f aca="false">ROUND((20*100*(K22-MIN($K$4:$K$28))/(MAX($K$4:$K$28)-MIN($K$4:$K$28))+60*100*(L22-MIN($L$4:$L$28))/(MAX($L$4:$L$28)-MIN($L$4:$L$28))+10*100*(N22-MIN($N$4:$N$28))/(MAX($N$4:$N$28)-MIN($N$4:$N$28))+10*100*(O22-MIN($O$4:$O$28))/(MAX($O$4:$O$28)-MIN($O$4:$O$28)))/100,1)</f>
        <v>19.7</v>
      </c>
      <c r="R22" s="7" t="n">
        <f aca="false">RANK(Q22,$Q$4:$Q$28)</f>
        <v>20</v>
      </c>
    </row>
    <row r="23" customFormat="false" ht="15" hidden="false" customHeight="true" outlineLevel="0" collapsed="false">
      <c r="E23" s="7" t="s">
        <v>247</v>
      </c>
      <c r="F23" s="8" t="n">
        <f aca="false">SUMIF('State Market Summary'!$T$4:$T$54,"T20",'State Market Summary'!$B$4:$B$54)</f>
        <v>442</v>
      </c>
      <c r="G23" s="8" t="n">
        <f aca="false">SUMIF('State Market Summary'!$T$4:$T$54,"T20",'State Market Summary'!$C$4:$C$54)</f>
        <v>111</v>
      </c>
      <c r="H23" s="8" t="n">
        <f aca="false">SUMIF('State Market Summary'!$T$4:$T$54,"T20",'State Market Summary'!$N$4:$N$54)</f>
        <v>173</v>
      </c>
      <c r="I23" s="8" t="n">
        <f aca="false">SUMIF('State Market Summary'!$T$4:$T$54,"T20",'State Market Summary'!$O$4:$O$54)</f>
        <v>48</v>
      </c>
      <c r="J23" s="31" t="n">
        <v>1</v>
      </c>
      <c r="K23" s="8" t="n">
        <f aca="false">ROUND(F23/J23,0)</f>
        <v>442</v>
      </c>
      <c r="L23" s="32" t="n">
        <f aca="false">ROUND(G23/J23,1)</f>
        <v>111</v>
      </c>
      <c r="M23" s="33" t="n">
        <f aca="false">H23/F23</f>
        <v>0.391402714932127</v>
      </c>
      <c r="N23" s="34" t="n">
        <v>663850</v>
      </c>
      <c r="O23" s="35" t="n">
        <v>70489</v>
      </c>
      <c r="P23" s="36" t="n">
        <v>28.5</v>
      </c>
      <c r="Q23" s="37" t="n">
        <f aca="false">ROUND((20*100*(K23-MIN($K$4:$K$28))/(MAX($K$4:$K$28)-MIN($K$4:$K$28))+60*100*(L23-MIN($L$4:$L$28))/(MAX($L$4:$L$28)-MIN($L$4:$L$28))+10*100*(N23-MIN($N$4:$N$28))/(MAX($N$4:$N$28)-MIN($N$4:$N$28))+10*100*(O23-MIN($O$4:$O$28))/(MAX($O$4:$O$28)-MIN($O$4:$O$28)))/100,1)</f>
        <v>8.7</v>
      </c>
      <c r="R23" s="7" t="n">
        <f aca="false">RANK(Q23,$Q$4:$Q$28)</f>
        <v>23</v>
      </c>
    </row>
    <row r="24" customFormat="false" ht="15" hidden="false" customHeight="true" outlineLevel="0" collapsed="false">
      <c r="E24" s="7" t="s">
        <v>248</v>
      </c>
      <c r="F24" s="8" t="n">
        <f aca="false">SUMIF('State Market Summary'!$T$4:$T$54,"T21",'State Market Summary'!$B$4:$B$54)</f>
        <v>478</v>
      </c>
      <c r="G24" s="8" t="n">
        <f aca="false">SUMIF('State Market Summary'!$T$4:$T$54,"T21",'State Market Summary'!$C$4:$C$54)</f>
        <v>137</v>
      </c>
      <c r="H24" s="8" t="n">
        <f aca="false">SUMIF('State Market Summary'!$T$4:$T$54,"T21",'State Market Summary'!$N$4:$N$54)</f>
        <v>241</v>
      </c>
      <c r="I24" s="8" t="n">
        <f aca="false">SUMIF('State Market Summary'!$T$4:$T$54,"T21",'State Market Summary'!$O$4:$O$54)</f>
        <v>49</v>
      </c>
      <c r="J24" s="31" t="n">
        <v>1</v>
      </c>
      <c r="K24" s="8" t="n">
        <f aca="false">ROUND(F24/J24,0)</f>
        <v>478</v>
      </c>
      <c r="L24" s="32" t="n">
        <f aca="false">ROUND(G24/J24,1)</f>
        <v>137</v>
      </c>
      <c r="M24" s="33" t="n">
        <f aca="false">H24/F24</f>
        <v>0.50418410041841</v>
      </c>
      <c r="N24" s="34" t="n">
        <v>794462</v>
      </c>
      <c r="O24" s="35" t="n">
        <v>97828</v>
      </c>
      <c r="P24" s="36" t="n">
        <v>41.2</v>
      </c>
      <c r="Q24" s="37" t="n">
        <f aca="false">ROUND((20*100*(K24-MIN($K$4:$K$28))/(MAX($K$4:$K$28)-MIN($K$4:$K$28))+60*100*(L24-MIN($L$4:$L$28))/(MAX($L$4:$L$28)-MIN($L$4:$L$28))+10*100*(N24-MIN($N$4:$N$28))/(MAX($N$4:$N$28)-MIN($N$4:$N$28))+10*100*(O24-MIN($O$4:$O$28))/(MAX($O$4:$O$28)-MIN($O$4:$O$28)))/100,1)</f>
        <v>22.2</v>
      </c>
      <c r="R24" s="7" t="n">
        <f aca="false">RANK(Q24,$Q$4:$Q$28)</f>
        <v>19</v>
      </c>
    </row>
    <row r="25" customFormat="false" ht="15" hidden="false" customHeight="true" outlineLevel="0" collapsed="false">
      <c r="E25" s="7" t="s">
        <v>249</v>
      </c>
      <c r="F25" s="8" t="n">
        <f aca="false">SUMIF('State Market Summary'!$T$4:$T$54,"T22",'State Market Summary'!$B$4:$B$54)</f>
        <v>489</v>
      </c>
      <c r="G25" s="8" t="n">
        <f aca="false">SUMIF('State Market Summary'!$T$4:$T$54,"T22",'State Market Summary'!$C$4:$C$54)</f>
        <v>168</v>
      </c>
      <c r="H25" s="8" t="n">
        <f aca="false">SUMIF('State Market Summary'!$T$4:$T$54,"T22",'State Market Summary'!$N$4:$N$54)</f>
        <v>199</v>
      </c>
      <c r="I25" s="8" t="n">
        <f aca="false">SUMIF('State Market Summary'!$T$4:$T$54,"T22",'State Market Summary'!$O$4:$O$54)</f>
        <v>78</v>
      </c>
      <c r="J25" s="31" t="n">
        <v>1</v>
      </c>
      <c r="K25" s="8" t="n">
        <f aca="false">ROUND(F25/J25,0)</f>
        <v>489</v>
      </c>
      <c r="L25" s="32" t="n">
        <f aca="false">ROUND(G25/J25,1)</f>
        <v>168</v>
      </c>
      <c r="M25" s="33" t="n">
        <f aca="false">H25/F25</f>
        <v>0.406952965235174</v>
      </c>
      <c r="N25" s="34" t="n">
        <v>860620</v>
      </c>
      <c r="O25" s="35" t="n">
        <v>94114</v>
      </c>
      <c r="P25" s="36" t="n">
        <v>39.1</v>
      </c>
      <c r="Q25" s="37" t="n">
        <f aca="false">ROUND((20*100*(K25-MIN($K$4:$K$28))/(MAX($K$4:$K$28)-MIN($K$4:$K$28))+60*100*(L25-MIN($L$4:$L$28))/(MAX($L$4:$L$28)-MIN($L$4:$L$28))+10*100*(N25-MIN($N$4:$N$28))/(MAX($N$4:$N$28)-MIN($N$4:$N$28))+10*100*(O25-MIN($O$4:$O$28))/(MAX($O$4:$O$28)-MIN($O$4:$O$28)))/100,1)</f>
        <v>27.8</v>
      </c>
      <c r="R25" s="7" t="n">
        <f aca="false">RANK(Q25,$Q$4:$Q$28)</f>
        <v>18</v>
      </c>
    </row>
    <row r="26" customFormat="false" ht="15" hidden="false" customHeight="true" outlineLevel="0" collapsed="false">
      <c r="E26" s="7" t="s">
        <v>250</v>
      </c>
      <c r="F26" s="8" t="n">
        <f aca="false">SUMIF('State Market Summary'!$T$4:$T$54,"T23",'State Market Summary'!$B$4:$B$54)</f>
        <v>401</v>
      </c>
      <c r="G26" s="8" t="n">
        <f aca="false">SUMIF('State Market Summary'!$T$4:$T$54,"T23",'State Market Summary'!$C$4:$C$54)</f>
        <v>124</v>
      </c>
      <c r="H26" s="8" t="n">
        <f aca="false">SUMIF('State Market Summary'!$T$4:$T$54,"T23",'State Market Summary'!$N$4:$N$54)</f>
        <v>159</v>
      </c>
      <c r="I26" s="8" t="n">
        <f aca="false">SUMIF('State Market Summary'!$T$4:$T$54,"T23",'State Market Summary'!$O$4:$O$54)</f>
        <v>44</v>
      </c>
      <c r="J26" s="31" t="n">
        <v>1</v>
      </c>
      <c r="K26" s="8" t="n">
        <f aca="false">ROUND(F26/J26,0)</f>
        <v>401</v>
      </c>
      <c r="L26" s="32" t="n">
        <f aca="false">ROUND(G26/J26,1)</f>
        <v>124</v>
      </c>
      <c r="M26" s="33" t="n">
        <f aca="false">H26/F26</f>
        <v>0.396508728179551</v>
      </c>
      <c r="N26" s="34" t="n">
        <v>634143</v>
      </c>
      <c r="O26" s="35" t="n">
        <v>67976</v>
      </c>
      <c r="P26" s="36" t="n">
        <v>29.8</v>
      </c>
      <c r="Q26" s="37" t="n">
        <f aca="false">ROUND((20*100*(K26-MIN($K$4:$K$28))/(MAX($K$4:$K$28)-MIN($K$4:$K$28))+60*100*(L26-MIN($L$4:$L$28))/(MAX($L$4:$L$28)-MIN($L$4:$L$28))+10*100*(N26-MIN($N$4:$N$28))/(MAX($N$4:$N$28)-MIN($N$4:$N$28))+10*100*(O26-MIN($O$4:$O$28))/(MAX($O$4:$O$28)-MIN($O$4:$O$28)))/100,1)</f>
        <v>9.4</v>
      </c>
      <c r="R26" s="7" t="n">
        <f aca="false">RANK(Q26,$Q$4:$Q$28)</f>
        <v>22</v>
      </c>
    </row>
    <row r="27" customFormat="false" ht="15" hidden="false" customHeight="true" outlineLevel="0" collapsed="false">
      <c r="E27" s="7" t="s">
        <v>251</v>
      </c>
      <c r="F27" s="8" t="n">
        <f aca="false">SUMIF('State Market Summary'!$T$4:$T$54,"T24",'State Market Summary'!$B$4:$B$54)</f>
        <v>345</v>
      </c>
      <c r="G27" s="8" t="n">
        <f aca="false">SUMIF('State Market Summary'!$T$4:$T$54,"T24",'State Market Summary'!$C$4:$C$54)</f>
        <v>111</v>
      </c>
      <c r="H27" s="8" t="n">
        <f aca="false">SUMIF('State Market Summary'!$T$4:$T$54,"T24",'State Market Summary'!$N$4:$N$54)</f>
        <v>168</v>
      </c>
      <c r="I27" s="8" t="n">
        <f aca="false">SUMIF('State Market Summary'!$T$4:$T$54,"T24",'State Market Summary'!$O$4:$O$54)</f>
        <v>55</v>
      </c>
      <c r="J27" s="31" t="n">
        <v>1</v>
      </c>
      <c r="K27" s="8" t="n">
        <f aca="false">ROUND(F27/J27,0)</f>
        <v>345</v>
      </c>
      <c r="L27" s="32" t="n">
        <f aca="false">ROUND(G27/J27,1)</f>
        <v>111</v>
      </c>
      <c r="M27" s="33" t="n">
        <f aca="false">H27/F27</f>
        <v>0.48695652173913</v>
      </c>
      <c r="N27" s="34" t="n">
        <v>528815</v>
      </c>
      <c r="O27" s="35" t="n">
        <v>73245</v>
      </c>
      <c r="P27" s="36" t="n">
        <v>30.7</v>
      </c>
      <c r="Q27" s="37" t="n">
        <f aca="false">ROUND((20*100*(K27-MIN($K$4:$K$28))/(MAX($K$4:$K$28)-MIN($K$4:$K$28))+60*100*(L27-MIN($L$4:$L$28))/(MAX($L$4:$L$28)-MIN($L$4:$L$28))+10*100*(N27-MIN($N$4:$N$28))/(MAX($N$4:$N$28)-MIN($N$4:$N$28))+10*100*(O27-MIN($O$4:$O$28))/(MAX($O$4:$O$28)-MIN($O$4:$O$28)))/100,1)</f>
        <v>6.4</v>
      </c>
      <c r="R27" s="7" t="n">
        <f aca="false">RANK(Q27,$Q$4:$Q$28)</f>
        <v>24</v>
      </c>
    </row>
    <row r="28" customFormat="false" ht="15" hidden="false" customHeight="true" outlineLevel="0" collapsed="false">
      <c r="E28" s="7" t="s">
        <v>252</v>
      </c>
      <c r="F28" s="8" t="n">
        <f aca="false">SUMIF('State Market Summary'!$T$4:$T$54,"T25",'State Market Summary'!$B$4:$B$54)</f>
        <v>364</v>
      </c>
      <c r="G28" s="8" t="n">
        <f aca="false">SUMIF('State Market Summary'!$T$4:$T$54,"T25",'State Market Summary'!$C$4:$C$54)</f>
        <v>97</v>
      </c>
      <c r="H28" s="8" t="n">
        <f aca="false">SUMIF('State Market Summary'!$T$4:$T$54,"T25",'State Market Summary'!$N$4:$N$54)</f>
        <v>157</v>
      </c>
      <c r="I28" s="8" t="n">
        <f aca="false">SUMIF('State Market Summary'!$T$4:$T$54,"T25",'State Market Summary'!$O$4:$O$54)</f>
        <v>29</v>
      </c>
      <c r="J28" s="31" t="n">
        <v>1</v>
      </c>
      <c r="K28" s="8" t="n">
        <f aca="false">ROUND(F28/J28,0)</f>
        <v>364</v>
      </c>
      <c r="L28" s="32" t="n">
        <f aca="false">ROUND(G28/J28,1)</f>
        <v>97</v>
      </c>
      <c r="M28" s="33" t="n">
        <f aca="false">H28/F28</f>
        <v>0.431318681318681</v>
      </c>
      <c r="N28" s="34" t="n">
        <v>473826</v>
      </c>
      <c r="O28" s="35" t="n">
        <v>65973</v>
      </c>
      <c r="P28" s="36" t="n">
        <v>30.6</v>
      </c>
      <c r="Q28" s="37" t="n">
        <f aca="false">ROUND((20*100*(K28-MIN($K$4:$K$28))/(MAX($K$4:$K$28)-MIN($K$4:$K$28))+60*100*(L28-MIN($L$4:$L$28))/(MAX($L$4:$L$28)-MIN($L$4:$L$28))+10*100*(N28-MIN($N$4:$N$28))/(MAX($N$4:$N$28)-MIN($N$4:$N$28))+10*100*(O28-MIN($O$4:$O$28))/(MAX($O$4:$O$28)-MIN($O$4:$O$28)))/100,1)</f>
        <v>2.1</v>
      </c>
      <c r="R28" s="7" t="n">
        <f aca="false">RANK(Q28,$Q$4:$Q$28)</f>
        <v>25</v>
      </c>
    </row>
    <row r="29" customFormat="false" ht="15" hidden="false" customHeight="true" outlineLevel="0" collapsed="false">
      <c r="E29" s="38" t="s">
        <v>54</v>
      </c>
      <c r="F29" s="15" t="n">
        <f aca="false">SUM(F4:F28)</f>
        <v>18405</v>
      </c>
      <c r="G29" s="15" t="n">
        <f aca="false">SUM(G4:G28)</f>
        <v>5862</v>
      </c>
      <c r="H29" s="15" t="n">
        <f aca="false">SUM(H4:H28)</f>
        <v>7630</v>
      </c>
      <c r="I29" s="15" t="n">
        <f aca="false">SUM(I4:I28)</f>
        <v>2215</v>
      </c>
      <c r="J29" s="38" t="n">
        <f aca="false">SUM(J4:J28)</f>
        <v>28</v>
      </c>
      <c r="K29" s="15" t="n">
        <f aca="false">ROUND(F29/J29,0)</f>
        <v>657</v>
      </c>
      <c r="L29" s="39" t="n">
        <f aca="false">ROUND(G29/J29,1)</f>
        <v>209.4</v>
      </c>
      <c r="M29" s="40" t="n">
        <f aca="false">H29/F29</f>
        <v>0.414561260527031</v>
      </c>
      <c r="N29" s="38"/>
      <c r="O29" s="38"/>
      <c r="P29" s="38"/>
      <c r="Q29" s="38"/>
      <c r="R29" s="38"/>
    </row>
    <row r="31" customFormat="false" ht="51.75" hidden="false" customHeight="true" outlineLevel="0" collapsed="false">
      <c r="E31" s="9" t="s">
        <v>253</v>
      </c>
      <c r="F31" s="9"/>
      <c r="G31" s="9"/>
      <c r="H31" s="9"/>
      <c r="I31" s="9"/>
      <c r="J31" s="9"/>
      <c r="K31" s="9"/>
      <c r="L31" s="9"/>
      <c r="M31" s="9"/>
      <c r="N31" s="9"/>
      <c r="O31" s="9"/>
      <c r="P31" s="9"/>
      <c r="Q31" s="9"/>
      <c r="R31" s="9"/>
    </row>
  </sheetData>
  <mergeCells count="2">
    <mergeCell ref="E1:R1"/>
    <mergeCell ref="E31:R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2026-07-21T18:40:33Z</dcterms:created>
  <dc:creator>openpyxl</dc:creator>
  <dc:description/>
  <dc:language>en-US</dc:language>
  <cp:lastModifiedBy/>
  <dcterms:modified xsi:type="dcterms:W3CDTF">2026-07-22T00:28:42Z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